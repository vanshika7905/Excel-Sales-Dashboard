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PROJECTS\Dashboards\"/>
    </mc:Choice>
  </mc:AlternateContent>
  <xr:revisionPtr revIDLastSave="0" documentId="8_{E9EBF0C7-7599-43B7-BC40-539017DB762E}" xr6:coauthVersionLast="47" xr6:coauthVersionMax="47" xr10:uidLastSave="{00000000-0000-0000-0000-000000000000}"/>
  <bookViews>
    <workbookView xWindow="-108" yWindow="-108" windowWidth="23256" windowHeight="13176" firstSheet="1" activeTab="2" xr2:uid="{346724B3-1C49-40AE-AA36-C77CF5D6DD09}"/>
  </bookViews>
  <sheets>
    <sheet name="Data" sheetId="1" r:id="rId1"/>
    <sheet name="Questions &amp; KPIs" sheetId="2" r:id="rId2"/>
    <sheet name="Dashboard" sheetId="3" r:id="rId3"/>
    <sheet name="Sheet1" sheetId="6" r:id="rId4"/>
    <sheet name="Logo &amp; Colors" sheetId="4" r:id="rId5"/>
    <sheet name="Pivot_table" sheetId="5" r:id="rId6"/>
  </sheets>
  <definedNames>
    <definedName name="_xlchart.v5.0" hidden="1">Pivot_table!$J$39:$K$39</definedName>
    <definedName name="_xlchart.v5.1" hidden="1">Pivot_table!$J$40:$K$97</definedName>
    <definedName name="_xlchart.v5.2" hidden="1">Pivot_table!$L$39</definedName>
    <definedName name="_xlchart.v5.3" hidden="1">Pivot_table!$L$40:$L$97</definedName>
    <definedName name="_xlchart.v5.4" hidden="1">Pivot_table!$T$39:$U$39</definedName>
    <definedName name="_xlchart.v5.5" hidden="1">Pivot_table!$T$40:$U$97</definedName>
    <definedName name="_xlchart.v5.6" hidden="1">Pivot_table!$V$39</definedName>
    <definedName name="_xlchart.v5.7" hidden="1">Pivot_table!$V$40:$V$97</definedName>
    <definedName name="Slicer_Gender_Value">#N/A</definedName>
    <definedName name="Slicer_Order_Mode">#N/A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47" i="5" l="1"/>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41" i="5"/>
  <c r="T42" i="5"/>
  <c r="T43" i="5"/>
  <c r="T44" i="5"/>
  <c r="T45" i="5"/>
  <c r="T46" i="5"/>
  <c r="T40"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41" i="5"/>
  <c r="J42" i="5"/>
  <c r="J43" i="5"/>
  <c r="J40" i="5"/>
  <c r="U41" i="5"/>
  <c r="V41" i="5"/>
  <c r="U42" i="5"/>
  <c r="V42" i="5"/>
  <c r="U43" i="5"/>
  <c r="V43" i="5"/>
  <c r="U44" i="5"/>
  <c r="V44" i="5"/>
  <c r="U45" i="5"/>
  <c r="V45" i="5"/>
  <c r="U46" i="5"/>
  <c r="V46" i="5"/>
  <c r="U47" i="5"/>
  <c r="V47" i="5"/>
  <c r="U48" i="5"/>
  <c r="V48" i="5"/>
  <c r="U49" i="5"/>
  <c r="V49" i="5"/>
  <c r="U50" i="5"/>
  <c r="V50" i="5"/>
  <c r="U51" i="5"/>
  <c r="V51" i="5"/>
  <c r="U52" i="5"/>
  <c r="V52" i="5"/>
  <c r="U53" i="5"/>
  <c r="V53" i="5"/>
  <c r="U54" i="5"/>
  <c r="V54" i="5"/>
  <c r="U55" i="5"/>
  <c r="V55" i="5"/>
  <c r="U56" i="5"/>
  <c r="V56" i="5"/>
  <c r="U57" i="5"/>
  <c r="V57" i="5"/>
  <c r="U58" i="5"/>
  <c r="V58" i="5"/>
  <c r="U59" i="5"/>
  <c r="V59" i="5"/>
  <c r="U60" i="5"/>
  <c r="V60" i="5"/>
  <c r="U61" i="5"/>
  <c r="V61" i="5"/>
  <c r="U62" i="5"/>
  <c r="V62" i="5"/>
  <c r="U63" i="5"/>
  <c r="V63" i="5"/>
  <c r="U64" i="5"/>
  <c r="V64" i="5"/>
  <c r="U65" i="5"/>
  <c r="V65" i="5"/>
  <c r="U66" i="5"/>
  <c r="V66" i="5"/>
  <c r="U67" i="5"/>
  <c r="V67" i="5"/>
  <c r="U68" i="5"/>
  <c r="V68" i="5"/>
  <c r="U69" i="5"/>
  <c r="V69" i="5"/>
  <c r="U70" i="5"/>
  <c r="V70" i="5"/>
  <c r="U71" i="5"/>
  <c r="V71" i="5"/>
  <c r="U72" i="5"/>
  <c r="V72" i="5"/>
  <c r="U73" i="5"/>
  <c r="V73" i="5"/>
  <c r="U74" i="5"/>
  <c r="V74" i="5"/>
  <c r="U75" i="5"/>
  <c r="V75" i="5"/>
  <c r="U76" i="5"/>
  <c r="V76" i="5"/>
  <c r="U77" i="5"/>
  <c r="V77" i="5"/>
  <c r="U78" i="5"/>
  <c r="V78" i="5"/>
  <c r="U79" i="5"/>
  <c r="V79" i="5"/>
  <c r="U80" i="5"/>
  <c r="V80" i="5"/>
  <c r="U81" i="5"/>
  <c r="V81" i="5"/>
  <c r="U82" i="5"/>
  <c r="V82" i="5"/>
  <c r="U83" i="5"/>
  <c r="V83" i="5"/>
  <c r="U84" i="5"/>
  <c r="V84" i="5"/>
  <c r="U85" i="5"/>
  <c r="V85" i="5"/>
  <c r="U86" i="5"/>
  <c r="V86" i="5"/>
  <c r="U87" i="5"/>
  <c r="V87" i="5"/>
  <c r="U88" i="5"/>
  <c r="V88" i="5"/>
  <c r="U89" i="5"/>
  <c r="V89" i="5"/>
  <c r="U90" i="5"/>
  <c r="V90" i="5"/>
  <c r="U91" i="5"/>
  <c r="V91" i="5"/>
  <c r="U92" i="5"/>
  <c r="V92" i="5"/>
  <c r="U93" i="5"/>
  <c r="V93" i="5"/>
  <c r="U94" i="5"/>
  <c r="V94" i="5"/>
  <c r="U95" i="5"/>
  <c r="V95" i="5"/>
  <c r="U96" i="5"/>
  <c r="V96" i="5"/>
  <c r="U97" i="5"/>
  <c r="V97" i="5"/>
  <c r="U40" i="5"/>
  <c r="V40" i="5"/>
  <c r="K41" i="5"/>
  <c r="L41" i="5"/>
  <c r="K42" i="5"/>
  <c r="L42" i="5"/>
  <c r="K43" i="5"/>
  <c r="L43" i="5"/>
  <c r="K44" i="5"/>
  <c r="L44" i="5"/>
  <c r="K45" i="5"/>
  <c r="L45" i="5"/>
  <c r="K46" i="5"/>
  <c r="L46" i="5"/>
  <c r="K47" i="5"/>
  <c r="L47" i="5"/>
  <c r="K48" i="5"/>
  <c r="L48" i="5"/>
  <c r="K49" i="5"/>
  <c r="L49" i="5"/>
  <c r="K50" i="5"/>
  <c r="L50" i="5"/>
  <c r="K51" i="5"/>
  <c r="L51" i="5"/>
  <c r="K52" i="5"/>
  <c r="L52" i="5"/>
  <c r="K53" i="5"/>
  <c r="L53" i="5"/>
  <c r="K54" i="5"/>
  <c r="L54" i="5"/>
  <c r="K55" i="5"/>
  <c r="L55" i="5"/>
  <c r="K56" i="5"/>
  <c r="L56" i="5"/>
  <c r="K57" i="5"/>
  <c r="L57" i="5"/>
  <c r="K58" i="5"/>
  <c r="L58" i="5"/>
  <c r="K59" i="5"/>
  <c r="L59" i="5"/>
  <c r="K60" i="5"/>
  <c r="L60" i="5"/>
  <c r="K61" i="5"/>
  <c r="L61" i="5"/>
  <c r="K62" i="5"/>
  <c r="L62" i="5"/>
  <c r="K63" i="5"/>
  <c r="L63" i="5"/>
  <c r="K64" i="5"/>
  <c r="L64" i="5"/>
  <c r="K65" i="5"/>
  <c r="L65" i="5"/>
  <c r="K66" i="5"/>
  <c r="L66" i="5"/>
  <c r="K67" i="5"/>
  <c r="L67" i="5"/>
  <c r="K68" i="5"/>
  <c r="L68" i="5"/>
  <c r="K69" i="5"/>
  <c r="L69" i="5"/>
  <c r="K70" i="5"/>
  <c r="L70" i="5"/>
  <c r="K71" i="5"/>
  <c r="L71" i="5"/>
  <c r="K72" i="5"/>
  <c r="L72" i="5"/>
  <c r="K73" i="5"/>
  <c r="L73" i="5"/>
  <c r="K74" i="5"/>
  <c r="L74" i="5"/>
  <c r="K75" i="5"/>
  <c r="L75" i="5"/>
  <c r="K76" i="5"/>
  <c r="L76" i="5"/>
  <c r="K77" i="5"/>
  <c r="L77" i="5"/>
  <c r="K78" i="5"/>
  <c r="L78" i="5"/>
  <c r="K79" i="5"/>
  <c r="L79" i="5"/>
  <c r="K80" i="5"/>
  <c r="L80" i="5"/>
  <c r="K81" i="5"/>
  <c r="L81" i="5"/>
  <c r="K82" i="5"/>
  <c r="L82" i="5"/>
  <c r="K83" i="5"/>
  <c r="L83" i="5"/>
  <c r="K84" i="5"/>
  <c r="L84" i="5"/>
  <c r="K85" i="5"/>
  <c r="L85" i="5"/>
  <c r="K86" i="5"/>
  <c r="L86" i="5"/>
  <c r="K87" i="5"/>
  <c r="L87" i="5"/>
  <c r="K88" i="5"/>
  <c r="L88" i="5"/>
  <c r="K89" i="5"/>
  <c r="L89" i="5"/>
  <c r="K90" i="5"/>
  <c r="L90" i="5"/>
  <c r="K91" i="5"/>
  <c r="L91" i="5"/>
  <c r="K92" i="5"/>
  <c r="L92" i="5"/>
  <c r="K93" i="5"/>
  <c r="L93" i="5"/>
  <c r="K94" i="5"/>
  <c r="L94" i="5"/>
  <c r="K95" i="5"/>
  <c r="L95" i="5"/>
  <c r="K96" i="5"/>
  <c r="L96" i="5"/>
  <c r="K97" i="5"/>
  <c r="L97" i="5"/>
  <c r="K40" i="5"/>
  <c r="L40" i="5"/>
  <c r="K7" i="6"/>
  <c r="L7" i="6"/>
  <c r="M7" i="6"/>
  <c r="N7" i="6"/>
  <c r="K8" i="6"/>
  <c r="L8" i="6"/>
  <c r="M8" i="6"/>
  <c r="N8" i="6"/>
  <c r="K9" i="6"/>
  <c r="L9" i="6"/>
  <c r="M9" i="6"/>
  <c r="N9" i="6"/>
  <c r="K10" i="6"/>
  <c r="L10" i="6"/>
  <c r="M10" i="6"/>
  <c r="N10" i="6"/>
  <c r="K11" i="6"/>
  <c r="L11" i="6"/>
  <c r="M11" i="6"/>
  <c r="N11" i="6"/>
  <c r="J8" i="6"/>
  <c r="J9" i="6"/>
  <c r="J10" i="6"/>
  <c r="J11" i="6"/>
  <c r="J7" i="6"/>
  <c r="I5" i="5"/>
  <c r="J5" i="5"/>
  <c r="L5" i="5"/>
  <c r="K5" i="5"/>
  <c r="H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<sst xmlns="http://schemas.openxmlformats.org/spreadsheetml/2006/main" count="14679" uniqueCount="2577">
  <si>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</si>
  <si>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</si>
  <si>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</si>
  <si>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</si>
  <si>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</si>
  <si>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</si>
  <si>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</si>
  <si>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</si>
  <si>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</si>
  <si>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</si>
  <si>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</si>
  <si>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</si>
  <si>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</si>
  <si>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</si>
  <si>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</si>
  <si>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</si>
  <si>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</si>
  <si>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</si>
  <si>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</si>
  <si>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</si>
  <si>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</si>
  <si>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</si>
  <si>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</si>
  <si>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</si>
  <si>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</si>
  <si>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</si>
  <si>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</si>
  <si>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</si>
  <si>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</si>
  <si>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</si>
  <si>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</si>
  <si>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</si>
  <si>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</si>
  <si>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</si>
  <si>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</si>
  <si>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</si>
  <si>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</si>
  <si>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</si>
  <si>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</si>
  <si>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</si>
  <si>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</si>
  <si>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</si>
  <si>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</si>
  <si>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</si>
  <si>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</si>
  <si>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</si>
  <si>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</si>
  <si>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</si>
  <si>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</si>
  <si>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</si>
  <si>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</si>
  <si>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</si>
  <si>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</si>
  <si>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</si>
  <si>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</si>
  <si>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</si>
  <si>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</si>
  <si>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</si>
  <si>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</si>
  <si>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</si>
  <si>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</si>
  <si>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</si>
  <si>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</si>
  <si>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</si>
  <si>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</si>
  <si>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</si>
  <si>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</si>
  <si>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</si>
  <si>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</si>
  <si>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</si>
  <si>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</si>
  <si>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</si>
  <si>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</si>
  <si>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</si>
  <si>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</si>
  <si>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</si>
  <si>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</si>
  <si>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</si>
  <si>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</si>
  <si>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</si>
  <si>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</si>
  <si>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</si>
  <si>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</si>
  <si>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</si>
  <si>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</si>
  <si>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</si>
  <si>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</si>
  <si>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</si>
  <si>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</si>
  <si>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</si>
  <si>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</si>
  <si>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</si>
  <si>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</si>
  <si>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</si>
  <si>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</si>
  <si>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</si>
  <si>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</si>
  <si>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</si>
  <si>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</si>
  <si>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</si>
  <si>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</si>
  <si>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</si>
  <si>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</si>
  <si>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</si>
  <si>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</si>
  <si>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</si>
  <si>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</si>
  <si>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</si>
  <si>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</si>
  <si>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</si>
  <si>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</si>
  <si>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</si>
  <si>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</si>
  <si>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</si>
  <si>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</si>
  <si>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</si>
  <si>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</si>
  <si>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</si>
  <si>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</si>
  <si>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</si>
  <si>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</si>
  <si>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</si>
  <si>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</si>
  <si>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</si>
  <si>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</si>
  <si>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</si>
  <si>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</si>
  <si>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</si>
  <si>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</si>
  <si>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</si>
  <si>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</si>
  <si>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</si>
  <si>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</si>
  <si>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</si>
  <si>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</si>
  <si>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</si>
  <si>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</si>
  <si>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</si>
  <si>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</si>
  <si>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</si>
  <si>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</si>
  <si>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</si>
  <si>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</si>
  <si>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</si>
  <si>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</si>
  <si>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</si>
  <si>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</si>
  <si>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</si>
  <si>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</si>
  <si>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</si>
  <si>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</si>
  <si>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</si>
  <si>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</si>
  <si>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</si>
  <si>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</si>
  <si>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</si>
  <si>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</si>
  <si>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</si>
  <si>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</si>
  <si>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</si>
  <si>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</si>
  <si>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</si>
  <si>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</si>
  <si>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</si>
  <si>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</si>
  <si>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</si>
  <si>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</si>
  <si>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</si>
  <si>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</si>
  <si>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</si>
  <si>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</si>
  <si>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</si>
  <si>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</si>
  <si>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</si>
  <si>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</si>
  <si>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</si>
  <si>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</si>
  <si>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</si>
  <si>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</si>
  <si>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</si>
  <si>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</si>
  <si>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</si>
  <si>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</si>
  <si>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</si>
  <si>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</si>
  <si>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</si>
  <si>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</si>
  <si>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</si>
  <si>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</si>
  <si>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</si>
  <si>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</si>
  <si>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</si>
  <si>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</si>
  <si>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</si>
  <si>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</si>
  <si>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</si>
  <si>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</si>
  <si>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</si>
  <si>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</si>
  <si>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</si>
  <si>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</si>
  <si>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</si>
  <si>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</si>
  <si>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</si>
  <si>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</si>
  <si>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</si>
  <si>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</si>
  <si>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</si>
  <si>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</si>
  <si>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</si>
  <si>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</si>
  <si>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</si>
  <si>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</si>
  <si>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</si>
  <si>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</si>
  <si>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</si>
  <si>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</si>
  <si>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</si>
  <si>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</si>
  <si>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</si>
  <si>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</si>
  <si>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</si>
  <si>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</si>
  <si>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</si>
  <si>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</si>
  <si>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</si>
  <si>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</si>
  <si>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</si>
  <si>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</si>
  <si>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</si>
  <si>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</si>
  <si>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</si>
  <si>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</si>
  <si>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</si>
  <si>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</si>
  <si>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</si>
  <si>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</si>
  <si>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</si>
  <si>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</si>
  <si>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</si>
  <si>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</si>
  <si>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</si>
  <si>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</si>
  <si>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</si>
  <si>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</si>
  <si>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</si>
  <si>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</si>
  <si>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</si>
  <si>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</si>
  <si>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</si>
  <si>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</si>
  <si>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</si>
  <si>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</si>
  <si>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</si>
  <si>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</si>
  <si>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</si>
  <si>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</si>
  <si>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</si>
  <si>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</si>
  <si>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</si>
  <si>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</si>
  <si>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</si>
  <si>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</si>
  <si>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</si>
  <si>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</si>
  <si>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</si>
  <si>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</si>
  <si>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</si>
  <si>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</si>
  <si>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</si>
  <si>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</si>
  <si>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</si>
  <si>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</si>
  <si>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</si>
  <si>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</si>
  <si>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</si>
  <si>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</si>
  <si>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</si>
  <si>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</si>
  <si>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</si>
  <si>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</si>
  <si>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</si>
  <si>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</si>
  <si>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</si>
  <si>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</si>
  <si>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</si>
  <si>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</si>
  <si>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</si>
  <si>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</si>
  <si>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</si>
  <si>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</si>
  <si>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</si>
  <si>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</si>
  <si>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</si>
  <si>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</si>
  <si>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</si>
  <si>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</si>
  <si>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</si>
  <si>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</si>
  <si>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</si>
  <si>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</si>
  <si>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</si>
  <si>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</si>
  <si>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</si>
  <si>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</si>
  <si>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</si>
  <si>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</si>
  <si>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</si>
  <si>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</si>
  <si>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</si>
  <si>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</si>
  <si>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</si>
  <si>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</si>
  <si>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</si>
  <si>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</si>
  <si>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</si>
  <si>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</si>
  <si>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</si>
  <si>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</si>
  <si>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</si>
  <si>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</si>
  <si>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</si>
  <si>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</si>
  <si>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</si>
  <si>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</si>
  <si>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</si>
  <si>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</si>
  <si>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</si>
  <si>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</si>
  <si>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</si>
  <si>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</si>
  <si>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</si>
  <si>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</si>
  <si>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</si>
  <si>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</si>
  <si>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</si>
  <si>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</si>
  <si>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</si>
  <si>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</si>
  <si>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</si>
  <si>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</si>
  <si>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</si>
  <si>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</si>
  <si>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</si>
  <si>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</si>
  <si>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</si>
  <si>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</si>
  <si>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</si>
  <si>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</si>
  <si>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</si>
  <si>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</si>
  <si>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</si>
  <si>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</si>
  <si>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</si>
  <si>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</si>
  <si>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</si>
  <si>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</si>
  <si>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</si>
  <si>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</si>
  <si>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</si>
  <si>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</si>
  <si>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</si>
  <si>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</si>
  <si>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</si>
  <si>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</si>
  <si>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</si>
  <si>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</si>
  <si>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</si>
  <si>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</si>
  <si>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</si>
  <si>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</si>
  <si>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</si>
  <si>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</si>
  <si>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</si>
  <si>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</si>
  <si>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</si>
  <si>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</si>
  <si>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</si>
  <si>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</si>
  <si>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</si>
  <si>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</si>
  <si>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</si>
  <si>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</si>
  <si>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</si>
  <si>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</si>
  <si>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</si>
  <si>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</si>
  <si>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</si>
  <si>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</si>
  <si>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</si>
  <si>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</si>
  <si>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</si>
  <si>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</si>
  <si>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</si>
  <si>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</si>
  <si>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</si>
  <si>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</si>
  <si>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</si>
  <si>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</si>
  <si>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</si>
  <si>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</si>
  <si>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</si>
  <si>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</si>
  <si>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</si>
  <si>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</si>
  <si>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</si>
  <si>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</si>
  <si>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</si>
  <si>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</si>
  <si>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</si>
  <si>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</si>
  <si>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</si>
  <si>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</si>
  <si>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</si>
  <si>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</si>
  <si>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</si>
  <si>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</si>
  <si>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</si>
  <si>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</si>
  <si>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</si>
  <si>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</si>
  <si>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</si>
  <si>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</si>
  <si>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</si>
  <si>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</si>
  <si>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</si>
  <si>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</si>
  <si>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</si>
  <si>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</si>
  <si>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</si>
  <si>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</si>
  <si>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</si>
  <si>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</si>
  <si>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</si>
  <si>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</si>
  <si>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</si>
  <si>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</si>
  <si>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</si>
  <si>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</si>
  <si>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</si>
  <si>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</si>
  <si>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</si>
  <si>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</si>
  <si>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</si>
  <si>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</si>
  <si>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</si>
  <si>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</si>
  <si>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</si>
  <si>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</si>
  <si>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</si>
  <si>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</si>
  <si>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</si>
  <si>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</si>
  <si>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</si>
  <si>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</si>
  <si>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</si>
  <si>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</si>
  <si>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</si>
  <si>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</si>
  <si>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</si>
  <si>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</si>
  <si>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</si>
  <si>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</si>
  <si>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</si>
  <si>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</si>
  <si>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</si>
  <si>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</si>
  <si>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</si>
  <si>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</si>
  <si>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</si>
  <si>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</si>
  <si>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</si>
  <si>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</si>
  <si>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</si>
  <si>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</si>
  <si>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</si>
  <si>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</si>
  <si>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</si>
  <si>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</si>
  <si>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</si>
  <si>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</si>
  <si>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</si>
  <si>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</si>
  <si>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</si>
  <si>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</si>
  <si>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</si>
  <si>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</si>
  <si>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</si>
  <si>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</si>
  <si>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</si>
  <si>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</si>
  <si>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</si>
  <si>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</si>
  <si>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</si>
  <si>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</si>
  <si>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</si>
  <si>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</si>
  <si>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</si>
  <si>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</si>
  <si>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</si>
  <si>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</si>
  <si>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</si>
  <si>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</si>
  <si>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</si>
  <si>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</si>
  <si>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</si>
  <si>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</si>
  <si>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</si>
  <si>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</si>
  <si>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</si>
  <si>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</si>
  <si>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</si>
  <si>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</si>
  <si>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</si>
  <si>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</si>
  <si>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</si>
  <si>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</si>
  <si>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</si>
  <si>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</si>
  <si>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</si>
  <si>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</si>
  <si>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</si>
  <si>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</si>
  <si>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</si>
  <si>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</si>
  <si>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</si>
  <si>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</si>
  <si>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</si>
  <si>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</si>
  <si>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</si>
  <si>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</si>
  <si>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</si>
  <si>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</si>
  <si>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</si>
  <si>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</si>
  <si>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</si>
  <si>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</si>
  <si>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</si>
  <si>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</si>
  <si>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</si>
  <si>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</si>
  <si>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</si>
  <si>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</si>
  <si>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</si>
  <si>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</si>
  <si>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</si>
  <si>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</si>
  <si>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</si>
  <si>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</si>
  <si>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</si>
  <si>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</si>
  <si>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</si>
  <si>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</si>
  <si>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</si>
  <si>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</si>
  <si>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</si>
  <si>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</si>
  <si>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</si>
  <si>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</si>
  <si>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</si>
  <si>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</si>
  <si>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</si>
  <si>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</si>
  <si>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</si>
  <si>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</si>
  <si>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</si>
  <si>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</si>
  <si>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</si>
  <si>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</si>
  <si>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</si>
  <si>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</si>
  <si>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</si>
  <si>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</si>
  <si>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</si>
  <si>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</si>
  <si>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</si>
  <si>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</si>
  <si>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</si>
  <si>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</si>
  <si>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</si>
  <si>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</si>
  <si>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</si>
  <si>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</si>
  <si>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</si>
  <si>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</si>
  <si>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</si>
  <si>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</si>
  <si>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</si>
  <si>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</si>
  <si>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</si>
  <si>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</si>
  <si>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</si>
  <si>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</si>
  <si>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</si>
  <si>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</si>
  <si>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</si>
  <si>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</si>
  <si>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</si>
  <si>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</si>
  <si>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</si>
  <si>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</si>
  <si>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</si>
  <si>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</si>
  <si>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</si>
  <si>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</si>
  <si>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</si>
  <si>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</si>
  <si>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</si>
  <si>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</si>
  <si>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</si>
  <si>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</si>
  <si>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</si>
  <si>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</si>
  <si>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</si>
  <si>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</si>
  <si>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</si>
  <si>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</si>
  <si>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</si>
  <si>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</si>
  <si>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</si>
  <si>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</si>
  <si>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</si>
  <si>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</si>
  <si>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</si>
  <si>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</si>
  <si>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</si>
  <si>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</si>
  <si>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</si>
  <si>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</si>
  <si>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</si>
  <si>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</si>
  <si>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</si>
  <si>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</si>
  <si>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</si>
  <si>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</si>
  <si>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</si>
  <si>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</si>
  <si>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</si>
  <si>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</si>
  <si>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</si>
  <si>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</si>
  <si>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</si>
  <si>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</si>
  <si>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</si>
  <si>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</si>
  <si>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</si>
  <si>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</si>
  <si>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</si>
  <si>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</si>
  <si>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</si>
  <si>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</si>
  <si>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</si>
  <si>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</si>
  <si>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</si>
  <si>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</si>
  <si>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</si>
  <si>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</si>
  <si>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</si>
  <si>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</si>
  <si>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</si>
  <si>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</si>
  <si>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</si>
  <si>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</si>
  <si>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</si>
  <si>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</si>
  <si>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</si>
  <si>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</si>
  <si>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</si>
  <si>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</si>
  <si>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</si>
  <si>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</si>
  <si>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</si>
  <si>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</si>
  <si>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</si>
  <si>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</si>
  <si>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</si>
  <si>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</si>
  <si>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</si>
  <si>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</si>
  <si>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</si>
  <si>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</si>
  <si>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</si>
  <si>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</si>
  <si>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</si>
  <si>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</si>
  <si>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</si>
  <si>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</si>
  <si>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</si>
  <si>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</si>
  <si>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</si>
  <si>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</si>
  <si>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</si>
  <si>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</si>
  <si>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</si>
  <si>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</si>
  <si>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</si>
  <si>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</si>
  <si>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</si>
  <si>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</si>
  <si>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</si>
  <si>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</si>
  <si>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</si>
  <si>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</si>
  <si>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</si>
  <si>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</si>
  <si>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</si>
  <si>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</si>
  <si>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</si>
  <si>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</si>
  <si>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</si>
  <si>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</si>
  <si>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</si>
  <si>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</si>
  <si>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</si>
  <si>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</si>
  <si>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</si>
  <si>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</si>
  <si>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</si>
  <si>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</si>
  <si>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</si>
  <si>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</si>
  <si>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</si>
  <si>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</si>
  <si>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</si>
  <si>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</si>
  <si>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</si>
  <si>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</si>
  <si>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</si>
  <si>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</si>
  <si>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</si>
  <si>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</si>
  <si>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</si>
  <si>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</si>
  <si>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</si>
  <si>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</si>
  <si>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</si>
  <si>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</si>
  <si>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</si>
  <si>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</si>
  <si>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</si>
  <si>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</si>
  <si>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</si>
  <si>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</si>
  <si>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</si>
  <si>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</si>
  <si>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</si>
  <si>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</si>
  <si>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</si>
  <si>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</si>
  <si>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</si>
  <si>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</si>
  <si>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</si>
  <si>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</si>
  <si>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</si>
  <si>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</si>
  <si>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</si>
  <si>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</si>
  <si>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</si>
  <si>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</si>
  <si>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</si>
  <si>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</si>
  <si>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</si>
  <si>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</si>
  <si>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</si>
  <si>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</si>
  <si>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</si>
  <si>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</si>
  <si>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</si>
  <si>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</si>
  <si>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</si>
  <si>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</si>
  <si>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</si>
  <si>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</si>
  <si>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</si>
  <si>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</si>
  <si>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</si>
  <si>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</si>
  <si>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</si>
  <si>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</si>
  <si>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</si>
  <si>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</si>
  <si>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</si>
  <si>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</si>
  <si>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</si>
  <si>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</si>
  <si>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</si>
  <si>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</si>
  <si>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</si>
  <si>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</si>
  <si>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</si>
  <si>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</si>
  <si>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</si>
  <si>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</si>
  <si>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</si>
  <si>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</si>
  <si>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</si>
  <si>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</si>
  <si>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</si>
  <si>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</si>
  <si>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</si>
  <si>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</si>
  <si>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</si>
  <si>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</si>
  <si>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</si>
  <si>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</si>
  <si>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</si>
  <si>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</si>
  <si>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</si>
  <si>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</si>
  <si>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</si>
  <si>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</si>
  <si>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</si>
  <si>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</si>
  <si>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</si>
  <si>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</si>
  <si>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</si>
  <si>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</si>
  <si>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</si>
  <si>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</si>
  <si>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</si>
  <si>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</si>
  <si>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</si>
  <si>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</si>
  <si>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</si>
  <si>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</si>
  <si>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</si>
  <si>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</si>
  <si>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</si>
  <si>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</si>
  <si>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</si>
  <si>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</si>
  <si>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</si>
  <si>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</si>
  <si>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</si>
  <si>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</si>
  <si>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</si>
  <si>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</si>
  <si>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</si>
  <si>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</si>
  <si>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</si>
  <si>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</si>
  <si>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</si>
  <si>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</si>
  <si>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</si>
  <si>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</si>
  <si>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</si>
  <si>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</si>
  <si>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</si>
  <si>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</si>
  <si>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</si>
  <si>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</si>
  <si>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</si>
  <si>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</si>
  <si>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</si>
  <si>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</si>
  <si>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</si>
  <si>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</si>
  <si>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</si>
  <si>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</si>
  <si>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</si>
  <si>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</si>
  <si>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</si>
  <si>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</si>
  <si>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</si>
  <si>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</si>
  <si>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</si>
  <si>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</si>
  <si>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</si>
  <si>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</si>
  <si>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</si>
  <si>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</si>
  <si>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</si>
  <si>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</si>
  <si>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</si>
  <si>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</si>
  <si>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</si>
  <si>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</si>
  <si>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</si>
  <si>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</si>
  <si>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</si>
  <si>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</si>
  <si>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</si>
  <si>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</si>
  <si>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</si>
  <si>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</si>
  <si>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</si>
  <si>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</si>
  <si>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</si>
  <si>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</si>
  <si>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</si>
  <si>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</si>
  <si>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</si>
  <si>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</si>
  <si>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</si>
  <si>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</si>
  <si>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</si>
  <si>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</si>
  <si>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</si>
  <si>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</si>
  <si>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</si>
  <si>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</si>
  <si>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</si>
  <si>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</si>
  <si>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</si>
  <si>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</si>
  <si>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</si>
  <si>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</si>
  <si>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</si>
  <si>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</si>
  <si>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</si>
  <si>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</si>
  <si>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</si>
  <si>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</si>
  <si>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</si>
  <si>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</si>
  <si>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</si>
  <si>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</si>
  <si>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</si>
  <si>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</si>
  <si>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</si>
  <si>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</si>
  <si>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</si>
  <si>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</si>
  <si>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</si>
  <si>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</si>
  <si>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</si>
  <si>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</si>
  <si>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</si>
  <si>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</si>
  <si>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</si>
  <si>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</si>
  <si>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</si>
  <si>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</si>
  <si>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</si>
  <si>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</si>
  <si>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</si>
  <si>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</si>
  <si>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</si>
  <si>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</si>
  <si>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</si>
  <si>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</si>
  <si>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</si>
  <si>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</si>
  <si>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</si>
  <si>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</si>
  <si>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</si>
  <si>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</si>
  <si>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</si>
  <si>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</si>
  <si>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</si>
  <si>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</si>
  <si>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</si>
  <si>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</si>
  <si>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</si>
  <si>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</si>
  <si>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</si>
  <si>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</si>
  <si>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</si>
  <si>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</si>
  <si>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</si>
  <si>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</si>
  <si>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</si>
  <si>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</si>
  <si>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</si>
  <si>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</si>
  <si>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</si>
  <si>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</si>
  <si>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</si>
  <si>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</si>
  <si>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</si>
  <si>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</si>
  <si>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</si>
  <si>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</si>
  <si>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</si>
  <si>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</si>
  <si>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</si>
  <si>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</si>
  <si>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</si>
  <si>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</si>
  <si>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</si>
  <si>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</si>
  <si>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</si>
  <si>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</si>
  <si>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</si>
  <si>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</si>
  <si>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</si>
  <si>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</si>
  <si>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</si>
  <si>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</si>
  <si>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</si>
  <si>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</si>
  <si>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</si>
  <si>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</si>
  <si>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</si>
  <si>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</si>
  <si>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</si>
  <si>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</si>
  <si>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</si>
  <si>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</si>
  <si>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</si>
  <si>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</si>
  <si>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</si>
  <si>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</si>
  <si>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</si>
  <si>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</si>
  <si>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</si>
  <si>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</si>
  <si>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</si>
  <si>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</si>
  <si>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</si>
  <si>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</si>
  <si>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</si>
  <si>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</si>
  <si>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</si>
  <si>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</si>
  <si>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</si>
  <si>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</si>
  <si>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</si>
  <si>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</si>
  <si>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</si>
  <si>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</si>
  <si>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</si>
  <si>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</si>
  <si>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</si>
  <si>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</si>
  <si>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</si>
  <si>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</si>
  <si>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</si>
  <si>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</si>
  <si>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</si>
  <si>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</si>
  <si>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</si>
  <si>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</si>
  <si>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</si>
  <si>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</si>
  <si>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</si>
  <si>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</si>
  <si>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</si>
  <si>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</si>
  <si>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</si>
  <si>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</si>
  <si>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</si>
  <si>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</si>
  <si>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</si>
  <si>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</si>
  <si>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</si>
  <si>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</si>
  <si>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</si>
  <si>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</si>
  <si>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</si>
  <si>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</si>
  <si>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</si>
  <si>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</si>
  <si>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</si>
  <si>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</si>
  <si>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</si>
  <si>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</si>
  <si>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</si>
  <si>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</si>
  <si>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</si>
  <si>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</si>
  <si>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</si>
  <si>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</si>
  <si>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</si>
  <si>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</si>
  <si>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</si>
  <si>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</si>
  <si>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</si>
  <si>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</si>
  <si>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</si>
  <si>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</si>
  <si>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</si>
  <si>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</si>
  <si>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</si>
  <si>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</si>
  <si>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</si>
  <si>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</si>
  <si>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</si>
  <si>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</si>
  <si>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</si>
  <si>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</si>
  <si>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</si>
  <si>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</si>
  <si>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</si>
  <si>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</si>
  <si>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</si>
  <si>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</si>
  <si>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</si>
  <si>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</si>
  <si>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</si>
  <si>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</si>
  <si>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</si>
  <si>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</si>
  <si>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</si>
  <si>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</si>
  <si>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</si>
  <si>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</si>
  <si>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</si>
  <si>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</si>
  <si>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</si>
  <si>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</si>
  <si>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</si>
  <si>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</si>
  <si>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</si>
  <si>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</si>
  <si>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</si>
  <si>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</si>
  <si>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</si>
  <si>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</si>
  <si>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</si>
  <si>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</si>
  <si>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</si>
  <si>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</si>
  <si>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</si>
  <si>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</si>
  <si>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</si>
  <si>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</si>
  <si>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</si>
  <si>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</si>
  <si>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</si>
  <si>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</si>
  <si>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</si>
  <si>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</si>
  <si>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</si>
  <si>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</si>
  <si>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</si>
  <si>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</si>
  <si>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</si>
  <si>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</si>
  <si>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</si>
  <si>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</si>
  <si>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</si>
  <si>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</si>
  <si>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</si>
  <si>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</si>
  <si>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</si>
  <si>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</si>
  <si>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</si>
  <si>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</si>
  <si>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</si>
  <si>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</si>
  <si>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</si>
  <si>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</si>
  <si>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</si>
  <si>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</si>
  <si>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</si>
  <si>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</si>
  <si>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</si>
  <si>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</si>
  <si>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</si>
  <si>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</si>
  <si>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</si>
  <si>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</si>
  <si>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</si>
  <si>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</si>
  <si>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</si>
  <si>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</si>
  <si>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</si>
  <si>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</si>
  <si>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</si>
  <si>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</si>
  <si>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</si>
  <si>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</si>
  <si>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</si>
  <si>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</si>
  <si>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</si>
  <si>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</si>
  <si>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</si>
  <si>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</si>
  <si>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</si>
  <si>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</si>
  <si>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</si>
  <si>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</si>
  <si>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</si>
  <si>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</si>
  <si>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</si>
  <si>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</si>
  <si>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</si>
  <si>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</si>
  <si>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</si>
  <si>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</si>
  <si>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</si>
  <si>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</si>
  <si>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</si>
  <si>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</si>
  <si>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</si>
  <si>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</si>
  <si>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</si>
  <si>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</si>
  <si>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</si>
  <si>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</si>
  <si>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</si>
  <si>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</si>
  <si>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</si>
  <si>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</si>
  <si>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</si>
  <si>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</si>
  <si>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</si>
  <si>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</si>
  <si>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</si>
  <si>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</si>
  <si>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</si>
  <si>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</si>
  <si>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</si>
  <si>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</si>
  <si>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</si>
  <si>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</si>
  <si>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</si>
  <si>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</si>
  <si>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</si>
  <si>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</si>
  <si>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</si>
  <si>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</si>
  <si>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</si>
  <si>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</si>
  <si>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</si>
  <si>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</si>
  <si>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</si>
  <si>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</si>
  <si>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</si>
  <si>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</si>
  <si>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</si>
  <si>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</si>
  <si>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</si>
  <si>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</si>
  <si>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</si>
  <si>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</si>
  <si>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</si>
  <si>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</si>
  <si>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</si>
  <si>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</si>
  <si>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</si>
  <si>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</si>
  <si>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</si>
  <si>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</si>
  <si>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</si>
  <si>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</si>
  <si>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</si>
  <si>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</si>
  <si>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</si>
  <si>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</si>
  <si>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</si>
  <si>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</si>
  <si>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</si>
  <si>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</si>
  <si>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</si>
  <si>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</si>
  <si>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</si>
  <si>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</si>
  <si>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</si>
  <si>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</si>
  <si>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</si>
  <si>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</si>
  <si>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</si>
  <si>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</si>
  <si>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</si>
  <si>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</si>
  <si>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</si>
  <si>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</si>
  <si>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</si>
  <si>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</si>
  <si>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</si>
  <si>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</si>
  <si>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</si>
  <si>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</si>
  <si>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</si>
  <si>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</si>
  <si>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</si>
  <si>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</si>
  <si>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</si>
  <si>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</si>
  <si>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</si>
  <si>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</si>
  <si>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</si>
  <si>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</si>
  <si>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</si>
  <si>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</si>
  <si>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</si>
  <si>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</si>
  <si>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</si>
  <si>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</si>
  <si>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</si>
  <si>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</si>
  <si>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</si>
  <si>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</si>
  <si>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</si>
  <si>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</si>
  <si>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</si>
  <si>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</si>
  <si>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</si>
  <si>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</si>
  <si>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</si>
  <si>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</si>
  <si>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</si>
  <si>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</si>
  <si>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</si>
  <si>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</si>
  <si>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</si>
  <si>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</si>
  <si>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</si>
  <si>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</si>
  <si>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</si>
  <si>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</si>
  <si>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</si>
  <si>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</si>
  <si>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</si>
  <si>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</si>
  <si>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</si>
  <si>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</si>
  <si>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</si>
  <si>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</si>
  <si>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</si>
  <si>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</si>
  <si>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</si>
  <si>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</si>
  <si>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</si>
  <si>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</si>
  <si>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</si>
  <si>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</si>
  <si>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</si>
  <si>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</si>
  <si>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</si>
  <si>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</si>
  <si>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</si>
  <si>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</si>
  <si>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</si>
  <si>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</si>
  <si>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</si>
  <si>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</si>
  <si>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</si>
  <si>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</si>
  <si>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</si>
  <si>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</si>
  <si>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</si>
  <si>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</si>
  <si>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</si>
  <si>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</si>
  <si>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</si>
  <si>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</si>
  <si>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</si>
  <si>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</si>
  <si>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</si>
  <si>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</si>
  <si>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</si>
  <si>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</si>
  <si>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</si>
  <si>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</si>
  <si>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</si>
  <si>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</si>
  <si>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</si>
  <si>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</si>
  <si>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</si>
  <si>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</si>
  <si>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</si>
  <si>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</si>
  <si>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</si>
  <si>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</si>
  <si>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</si>
  <si>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</si>
  <si>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</si>
  <si>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</si>
  <si>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</si>
  <si>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</si>
  <si>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</si>
  <si>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</si>
  <si>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</si>
  <si>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</si>
  <si>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</si>
  <si>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</si>
  <si>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</si>
  <si>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</si>
  <si>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</si>
  <si>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</si>
  <si>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</si>
  <si>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</si>
  <si>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</si>
  <si>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</si>
  <si>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</si>
  <si>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</si>
  <si>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</si>
  <si>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</si>
  <si>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</si>
  <si>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</si>
  <si>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</si>
  <si>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</si>
  <si>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</si>
  <si>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</si>
  <si>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</si>
  <si>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</si>
  <si>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</si>
  <si>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</si>
  <si>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</si>
  <si>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</si>
  <si>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</si>
  <si>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</si>
  <si>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</si>
  <si>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</si>
  <si>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</si>
  <si>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</si>
  <si>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</si>
  <si>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</si>
  <si>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</si>
  <si>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</si>
  <si>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</si>
  <si>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</si>
  <si>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</si>
  <si>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</si>
  <si>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</si>
  <si>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</si>
  <si>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</si>
  <si>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</si>
  <si>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</si>
  <si>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</si>
  <si>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</si>
  <si>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</si>
  <si>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</si>
  <si>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</si>
  <si>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</si>
  <si>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</si>
  <si>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</si>
  <si>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</si>
  <si>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</si>
  <si>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</si>
  <si>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</si>
  <si>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</si>
  <si>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</si>
  <si>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</si>
  <si>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</si>
  <si>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</si>
  <si>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</si>
  <si>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</si>
  <si>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</si>
  <si>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</si>
  <si>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</si>
  <si>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</si>
  <si>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</si>
  <si>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</si>
  <si>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</si>
  <si>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</si>
  <si>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</si>
  <si>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</si>
  <si>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</si>
  <si>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</si>
  <si>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</si>
  <si>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</si>
  <si>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</si>
  <si>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</si>
  <si>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</si>
  <si>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</si>
  <si>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</si>
  <si>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</si>
  <si>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</si>
  <si>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</si>
  <si>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</si>
  <si>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</si>
  <si>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</si>
  <si>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</si>
  <si>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</si>
  <si>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</si>
  <si>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</si>
  <si>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</si>
  <si>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</si>
  <si>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</si>
  <si>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</si>
  <si>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</si>
  <si>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</si>
  <si>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</si>
  <si>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</si>
  <si>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</si>
  <si>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</si>
  <si>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</si>
  <si>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</si>
  <si>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</si>
  <si>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</si>
  <si>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</si>
  <si>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</si>
  <si>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</si>
  <si>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</si>
  <si>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</si>
  <si>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</si>
  <si>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</si>
  <si>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</si>
  <si>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</si>
  <si>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</si>
  <si>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</si>
  <si>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</si>
  <si>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</si>
  <si>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</si>
  <si>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</si>
  <si>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</si>
  <si>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</si>
  <si>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</si>
  <si>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</si>
  <si>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</si>
  <si>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</si>
  <si>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</si>
  <si>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</si>
  <si>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</si>
  <si>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</si>
  <si>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</si>
  <si>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</si>
  <si>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</si>
  <si>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</si>
  <si>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</si>
  <si>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</si>
  <si>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</si>
  <si>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</si>
  <si>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</si>
  <si>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</si>
  <si>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</si>
  <si>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</si>
  <si>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</si>
  <si>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</si>
  <si>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</si>
  <si>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</si>
  <si>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</si>
  <si>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</si>
  <si>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</si>
  <si>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</si>
  <si>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</si>
  <si>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</si>
  <si>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</si>
  <si>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</si>
  <si>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</si>
  <si>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</si>
  <si>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</si>
  <si>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</si>
  <si>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</si>
  <si>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</si>
  <si>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</si>
  <si>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</si>
  <si>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</si>
  <si>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</si>
  <si>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</si>
  <si>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</si>
  <si>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</si>
  <si>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</si>
  <si>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</si>
  <si>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</si>
  <si>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</si>
  <si>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</si>
  <si>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</si>
  <si>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</si>
  <si>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</si>
  <si>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</si>
  <si>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</si>
  <si>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</si>
  <si>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</si>
  <si>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</si>
  <si>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</si>
  <si>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</si>
  <si>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</si>
  <si>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</si>
  <si>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</si>
  <si>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</si>
  <si>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</si>
  <si>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</si>
  <si>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</si>
  <si>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</si>
  <si>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</si>
  <si>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</si>
  <si>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</si>
  <si>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</si>
  <si>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</si>
  <si>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</si>
  <si>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</si>
  <si>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</si>
  <si>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</si>
  <si>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</si>
  <si>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</si>
  <si>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</si>
  <si>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</si>
  <si>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</si>
  <si>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</si>
  <si>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</si>
  <si>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</si>
  <si>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</si>
  <si>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</si>
  <si>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</si>
  <si>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</si>
  <si>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</si>
  <si>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</si>
  <si>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</si>
  <si>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</si>
  <si>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</si>
  <si>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</si>
  <si>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</si>
  <si>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</si>
  <si>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</si>
  <si>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</si>
  <si>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</si>
  <si>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</si>
  <si>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</si>
  <si>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</si>
  <si>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</si>
  <si>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</si>
  <si>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</si>
  <si>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</si>
  <si>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</si>
  <si>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</si>
  <si>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</si>
  <si>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</si>
  <si>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</si>
  <si>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</si>
  <si>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</si>
  <si>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</si>
  <si>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</si>
  <si>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</si>
  <si>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</si>
  <si>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</si>
  <si>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</si>
  <si>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</si>
  <si>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</si>
  <si>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</si>
  <si>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</si>
  <si>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</si>
  <si>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</si>
  <si>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</si>
  <si>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</si>
  <si>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</si>
  <si>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</si>
  <si>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</si>
  <si>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</si>
  <si>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</si>
  <si>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</si>
  <si>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</si>
  <si>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</si>
  <si>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</si>
  <si>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</si>
  <si>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</si>
  <si>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</si>
  <si>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</si>
  <si>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</si>
  <si>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</si>
  <si>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</si>
  <si>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</si>
  <si>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</si>
  <si>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</si>
  <si>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</si>
  <si>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</si>
  <si>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</si>
  <si>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</si>
  <si>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</si>
  <si>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</si>
  <si>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</si>
  <si>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</si>
  <si>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</si>
  <si>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</si>
  <si>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</si>
  <si>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</si>
  <si>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</si>
  <si>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</si>
  <si>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</si>
  <si>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</si>
  <si>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</si>
  <si>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</si>
  <si>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</si>
  <si>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</si>
  <si>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</si>
  <si>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</si>
  <si>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</si>
  <si>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</si>
  <si>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</si>
  <si>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</si>
  <si>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</si>
  <si>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</si>
  <si>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</si>
  <si>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</si>
  <si>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</si>
  <si>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</si>
  <si>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</si>
  <si>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</si>
  <si>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</si>
  <si>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</si>
  <si>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</si>
  <si>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</si>
  <si>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</si>
  <si>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</si>
  <si>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</si>
  <si>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</si>
  <si>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</si>
  <si>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</si>
  <si>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</si>
  <si>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</si>
  <si>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</si>
  <si>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</si>
  <si>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</si>
  <si>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</si>
  <si>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</si>
  <si>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</si>
  <si>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</si>
  <si>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</si>
  <si>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</si>
  <si>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</si>
  <si>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</si>
  <si>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</si>
  <si>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</si>
  <si>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</si>
  <si>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</si>
  <si>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</si>
  <si>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</si>
  <si>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</si>
  <si>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</si>
  <si>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</si>
  <si>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</si>
  <si>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</si>
  <si>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</si>
  <si>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</si>
  <si>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</si>
  <si>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</si>
  <si>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</si>
  <si>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</si>
  <si>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</si>
  <si>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</si>
  <si>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</si>
  <si>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</si>
  <si>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</si>
  <si>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</si>
  <si>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</si>
  <si>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</si>
  <si>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</si>
  <si>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</si>
  <si>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</si>
  <si>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</si>
  <si>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</si>
  <si>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</si>
  <si>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</si>
  <si>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</si>
  <si>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</si>
  <si>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</si>
  <si>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</si>
  <si>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</si>
  <si>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</si>
  <si>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</si>
  <si>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</si>
  <si>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</si>
  <si>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</si>
  <si>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</si>
  <si>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</si>
  <si>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</si>
  <si>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</si>
  <si>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</si>
  <si>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</si>
  <si>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</si>
  <si>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</si>
  <si>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</si>
  <si>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</si>
  <si>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</si>
  <si>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</si>
  <si>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</si>
  <si>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</si>
  <si>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</si>
  <si>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</si>
  <si>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</si>
  <si>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</si>
  <si>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</si>
  <si>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</si>
  <si>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</si>
  <si>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</si>
  <si>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</si>
  <si>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</si>
  <si>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</si>
  <si>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</si>
  <si>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</si>
  <si>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</si>
  <si>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</si>
  <si>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</si>
  <si>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</si>
  <si>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</si>
  <si>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</si>
  <si>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</si>
  <si>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</si>
  <si>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</si>
  <si>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</si>
  <si>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</si>
  <si>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</si>
  <si>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</si>
  <si>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</si>
  <si>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</si>
  <si>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</si>
  <si>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</si>
  <si>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</si>
  <si>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</si>
  <si>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</si>
  <si>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</si>
  <si>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</si>
  <si>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</si>
  <si>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</si>
  <si>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</si>
  <si>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</si>
  <si>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</si>
  <si>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</si>
  <si>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</si>
  <si>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</si>
  <si>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</si>
  <si>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</si>
  <si>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</si>
  <si>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</si>
  <si>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</si>
  <si>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</si>
  <si>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</si>
  <si>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</si>
  <si>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</si>
  <si>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</si>
  <si>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</si>
  <si>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</si>
  <si>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</si>
  <si>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</si>
  <si>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</si>
  <si>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</si>
  <si>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</si>
  <si>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</si>
  <si>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</si>
  <si>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</si>
  <si>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</si>
  <si>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</si>
  <si>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</si>
  <si>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</si>
  <si>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</si>
  <si>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</si>
  <si>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</si>
  <si>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</si>
  <si>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</si>
  <si>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</si>
  <si>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</si>
  <si>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</si>
  <si>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</si>
  <si>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</si>
  <si>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</si>
  <si>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</si>
  <si>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</si>
  <si>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</si>
  <si>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</si>
  <si>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</si>
  <si>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</si>
  <si>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</si>
  <si>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</si>
  <si>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</si>
  <si>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</si>
  <si>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</si>
  <si>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</si>
  <si>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</si>
  <si>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</si>
  <si>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</si>
  <si>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</si>
  <si>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</si>
  <si>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</si>
  <si>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</si>
  <si>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</si>
  <si>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</si>
  <si>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</si>
  <si>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</si>
  <si>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</si>
  <si>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</si>
  <si>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</si>
  <si>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</si>
  <si>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</si>
  <si>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</si>
  <si>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</si>
  <si>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</si>
  <si>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</si>
  <si>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</si>
  <si>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</si>
  <si>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</si>
  <si>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</si>
  <si>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</si>
  <si>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</si>
  <si>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</si>
  <si>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</si>
  <si>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</si>
  <si>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</si>
  <si>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</si>
  <si>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</si>
  <si>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</si>
  <si>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</si>
  <si>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</si>
  <si>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</si>
  <si>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</si>
  <si>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</si>
  <si>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</si>
  <si>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</si>
  <si>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</si>
  <si>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</si>
  <si>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</si>
  <si>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</si>
  <si>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</si>
  <si>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</si>
  <si>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</si>
  <si>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</si>
  <si>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</si>
  <si>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</si>
  <si>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</si>
  <si>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</si>
  <si>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</si>
  <si>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</si>
  <si>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</si>
  <si>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</si>
  <si>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</si>
  <si>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</si>
  <si>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</si>
  <si>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</si>
  <si>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</si>
  <si>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</si>
  <si>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</si>
  <si>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</si>
  <si>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</si>
  <si>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</si>
  <si>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</si>
  <si>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</si>
  <si>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</si>
  <si>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</si>
  <si>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</si>
  <si>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</si>
  <si>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</si>
  <si>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</si>
  <si>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</si>
  <si>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</si>
  <si>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</si>
  <si>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</si>
  <si>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</si>
  <si>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</si>
  <si>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</si>
  <si>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</si>
  <si>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</si>
  <si>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</si>
  <si>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</si>
  <si>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</si>
  <si>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</si>
  <si>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</si>
  <si>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</si>
  <si>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</si>
  <si>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</si>
  <si>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</si>
  <si>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</si>
  <si>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</si>
  <si>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</si>
  <si>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</si>
  <si>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</si>
  <si>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</si>
  <si>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</si>
  <si>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</si>
  <si>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</si>
  <si>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</si>
  <si>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</si>
  <si>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</si>
  <si>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</si>
  <si>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</si>
  <si>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</si>
  <si>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</si>
  <si>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</si>
  <si>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</si>
  <si>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</si>
  <si>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</si>
  <si>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</si>
  <si>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</si>
  <si>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</si>
  <si>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</si>
  <si>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</si>
  <si>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</si>
  <si>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</si>
  <si>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</si>
  <si>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</si>
  <si>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</si>
  <si>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</si>
  <si>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</si>
  <si>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</si>
  <si>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</si>
  <si>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</si>
  <si>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</si>
  <si>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</si>
  <si>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</si>
  <si>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</si>
  <si>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</si>
  <si>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</si>
  <si>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</si>
  <si>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</si>
  <si>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</si>
  <si>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</si>
  <si>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</si>
  <si>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</si>
  <si>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</si>
  <si>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</si>
  <si>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</si>
  <si>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</si>
  <si>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</si>
  <si>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</si>
  <si>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</si>
  <si>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</si>
  <si>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</si>
  <si>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</si>
  <si>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</si>
  <si>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</si>
  <si>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</si>
  <si>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</si>
  <si>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</si>
  <si>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</si>
  <si>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</si>
  <si>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</si>
  <si>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</si>
  <si>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</si>
  <si>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</si>
  <si>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</si>
  <si>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</si>
  <si>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</si>
  <si>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</si>
  <si>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</si>
  <si>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</si>
  <si>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</si>
  <si>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</si>
  <si>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</si>
  <si>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</si>
  <si>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</si>
  <si>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</si>
  <si>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</si>
  <si>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</si>
  <si>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</si>
  <si>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</si>
  <si>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</si>
  <si>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</si>
  <si>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</si>
  <si>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</si>
  <si>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</si>
  <si>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</si>
  <si>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</si>
  <si>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</si>
  <si>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</si>
  <si>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</si>
  <si>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</si>
  <si>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</si>
  <si>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</si>
  <si>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</si>
  <si>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</si>
  <si>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</si>
  <si>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</si>
  <si>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</si>
  <si>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</si>
  <si>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</si>
  <si>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</si>
  <si>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</si>
  <si>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</si>
  <si>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</si>
  <si>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</si>
  <si>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</si>
  <si>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</si>
  <si>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</si>
  <si>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</si>
  <si>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</si>
  <si>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</si>
  <si>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</si>
  <si>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</si>
  <si>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</si>
  <si>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</si>
  <si>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</si>
  <si>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</si>
  <si>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</si>
  <si>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</si>
  <si>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</si>
  <si>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</si>
  <si>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</si>
  <si>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</si>
  <si>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</si>
  <si>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</si>
  <si>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</si>
  <si>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</si>
  <si>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</si>
  <si>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</si>
  <si>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</si>
  <si>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</si>
  <si>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</si>
  <si>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</si>
  <si>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</si>
  <si>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</si>
  <si>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</si>
  <si>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</si>
  <si>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</si>
  <si>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</si>
  <si>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</si>
  <si>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</si>
  <si>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</si>
  <si>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</si>
  <si>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</si>
  <si>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</si>
  <si>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</si>
  <si>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</si>
  <si>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</si>
  <si>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</si>
  <si>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</si>
  <si>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</si>
  <si>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</si>
  <si>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</si>
  <si>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</si>
  <si>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</si>
  <si>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</si>
  <si>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</si>
  <si>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</si>
  <si>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</si>
  <si>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</si>
  <si>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</si>
  <si>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</si>
  <si>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</si>
  <si>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</si>
  <si>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</si>
  <si>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</si>
  <si>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</si>
  <si>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</si>
  <si>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</si>
  <si>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</si>
  <si>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</si>
  <si>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</si>
  <si>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</si>
  <si>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</si>
  <si>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</si>
  <si>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</si>
  <si>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</si>
  <si>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</si>
  <si>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</si>
  <si>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</si>
  <si>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</si>
  <si>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</si>
  <si>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</si>
  <si>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</si>
  <si>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</si>
  <si>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</si>
  <si>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</si>
  <si>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</si>
  <si>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</si>
  <si>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</si>
  <si>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</si>
  <si>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</si>
  <si>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</si>
  <si>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</si>
  <si>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</si>
  <si>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</si>
  <si>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</si>
  <si>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</si>
  <si>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</si>
  <si>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</si>
  <si>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</si>
  <si>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</si>
  <si>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</si>
  <si>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</si>
  <si>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</si>
  <si>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</si>
  <si>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</si>
  <si>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</si>
  <si>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</si>
  <si>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</si>
  <si>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</si>
  <si>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</si>
  <si>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</si>
  <si>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</si>
  <si>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</si>
  <si>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</si>
  <si>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</si>
  <si>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</si>
  <si>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</si>
  <si>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</si>
  <si>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</si>
  <si>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</si>
  <si>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</si>
  <si>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</si>
  <si>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</si>
  <si>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</si>
  <si>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</si>
  <si>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</si>
  <si>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</si>
  <si>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</si>
  <si>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</si>
  <si>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</si>
  <si>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</si>
  <si>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</si>
  <si>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</si>
  <si>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</si>
  <si>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</si>
  <si>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</si>
  <si>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</si>
  <si>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</si>
  <si>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</si>
  <si>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</si>
  <si>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</si>
  <si>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</si>
  <si>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</si>
  <si>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</si>
  <si>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</si>
  <si>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</si>
  <si>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</si>
  <si>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</si>
  <si>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</si>
  <si>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</si>
  <si>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</si>
  <si>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</si>
  <si>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</si>
  <si>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</si>
  <si>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</si>
  <si>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</si>
  <si>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</si>
  <si>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</si>
  <si>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</si>
  <si>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</si>
  <si>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</si>
  <si>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</si>
  <si>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</si>
  <si>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</si>
  <si>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</si>
  <si>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</si>
  <si>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</si>
  <si>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</si>
  <si>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</si>
  <si>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</si>
  <si>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</si>
  <si>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</si>
  <si>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</si>
  <si>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</si>
  <si>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</si>
  <si>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</si>
  <si>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</si>
  <si>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</si>
  <si>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</si>
  <si>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</si>
  <si>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</si>
  <si>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</si>
  <si>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</si>
  <si>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</si>
  <si>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</si>
  <si>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</si>
  <si>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</si>
  <si>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</si>
  <si>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</si>
  <si>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</si>
  <si>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</si>
  <si>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</si>
  <si>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</si>
  <si>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</si>
  <si>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</si>
  <si>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</si>
  <si>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</si>
  <si>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</si>
  <si>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</si>
  <si>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</si>
  <si>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</si>
  <si>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</si>
  <si>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</si>
  <si>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</si>
  <si>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</si>
  <si>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</si>
  <si>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</si>
  <si>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</si>
  <si>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</si>
  <si>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</si>
  <si>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</si>
  <si>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</si>
  <si>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</si>
  <si>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</si>
  <si>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</si>
  <si>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</si>
  <si>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</si>
  <si>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</si>
  <si>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</si>
  <si>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</si>
  <si>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</si>
  <si>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</si>
  <si>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</si>
  <si>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</si>
  <si>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</si>
  <si>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</si>
  <si>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</si>
  <si>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</si>
  <si>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</si>
  <si>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</si>
  <si>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</si>
  <si>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</si>
  <si>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</si>
  <si>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</si>
  <si>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</si>
  <si>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</si>
  <si>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</si>
  <si>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</si>
  <si>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</si>
  <si>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</si>
  <si>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</si>
  <si>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</si>
  <si>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</si>
  <si>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</si>
  <si>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</si>
  <si>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</si>
  <si>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</si>
  <si>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</si>
  <si>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</si>
  <si>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</si>
  <si>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</si>
  <si>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</si>
  <si>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</si>
  <si>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</si>
  <si>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</si>
  <si>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</si>
  <si>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</si>
  <si>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</si>
  <si>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</si>
  <si>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</si>
  <si>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</si>
  <si>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</si>
  <si>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</si>
  <si>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</si>
  <si>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</si>
  <si>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</si>
  <si>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</si>
  <si>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</si>
  <si>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</si>
  <si>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</si>
  <si>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</si>
  <si>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</si>
  <si>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</si>
  <si>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</si>
  <si>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</si>
  <si>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</si>
  <si>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</si>
  <si>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</si>
  <si>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</si>
  <si>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</si>
  <si>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</si>
  <si>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</si>
  <si>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</si>
  <si>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</si>
  <si>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</si>
  <si>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</si>
  <si>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</si>
  <si>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</si>
  <si>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</si>
  <si>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</si>
  <si>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</si>
  <si>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</si>
  <si>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</si>
  <si>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</si>
  <si>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</si>
  <si>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</si>
  <si>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</si>
  <si>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</si>
  <si>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</si>
  <si>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</si>
  <si>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</si>
  <si>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</si>
  <si>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</si>
  <si>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</si>
  <si>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</si>
  <si>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</si>
  <si>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</si>
  <si>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</si>
  <si>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</si>
  <si>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</si>
  <si>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</si>
  <si>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</si>
  <si>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</si>
  <si>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</si>
  <si>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</si>
  <si>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</si>
  <si>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</si>
  <si>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</si>
  <si>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</si>
  <si>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</si>
  <si>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</si>
  <si>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</si>
  <si>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</si>
  <si>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</si>
  <si>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</si>
  <si>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</si>
  <si>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</si>
  <si>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</si>
  <si>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</si>
  <si>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</si>
  <si>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</si>
  <si>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</si>
  <si>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</si>
  <si>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</si>
  <si>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</si>
  <si>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</si>
  <si>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</si>
  <si>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</si>
  <si>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</si>
  <si>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</si>
  <si>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</si>
  <si>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</si>
  <si>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</si>
  <si>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</si>
  <si>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</si>
  <si>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</si>
  <si>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</si>
  <si>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</si>
  <si>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</si>
  <si>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</si>
  <si>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</si>
  <si>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</si>
  <si>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</si>
  <si>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</si>
  <si>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</si>
  <si>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</si>
  <si>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</si>
  <si>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</si>
  <si>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</si>
  <si>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</si>
  <si>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</si>
  <si>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</si>
  <si>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</si>
  <si>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</si>
  <si>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</si>
  <si>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</si>
  <si>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</si>
  <si>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</si>
  <si>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</si>
  <si>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</si>
  <si>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</si>
  <si>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</si>
  <si>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</si>
  <si>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</si>
  <si>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</si>
  <si>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</si>
  <si>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</si>
  <si>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</si>
  <si>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</si>
  <si>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</si>
  <si>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</si>
  <si>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</si>
  <si>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</si>
  <si>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</si>
  <si>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</si>
  <si>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</si>
  <si>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</si>
  <si>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</si>
  <si>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</si>
  <si>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</si>
  <si>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</si>
  <si>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</si>
  <si>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</si>
  <si>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</si>
  <si>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</si>
  <si>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</si>
  <si>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</si>
  <si>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</si>
  <si>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</si>
  <si>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</si>
  <si>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</si>
  <si>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</si>
  <si>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</si>
  <si>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</si>
  <si>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</si>
  <si>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</si>
  <si>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</si>
  <si>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</si>
  <si>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</si>
  <si>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</si>
  <si>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</si>
  <si>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</si>
  <si>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</si>
  <si>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</si>
  <si>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</si>
  <si>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</si>
  <si>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</si>
  <si>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</si>
  <si>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</si>
  <si>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</si>
  <si>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</si>
  <si>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</si>
  <si>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</si>
  <si>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</si>
  <si>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</si>
  <si>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</si>
  <si>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</si>
  <si>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</si>
  <si>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</si>
  <si>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</si>
  <si>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</si>
  <si>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</si>
  <si>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</si>
  <si>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</si>
  <si>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</si>
  <si>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</si>
  <si>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</si>
  <si>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</si>
  <si>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</si>
  <si>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</si>
  <si>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</si>
  <si>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</si>
  <si>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</si>
  <si>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</si>
  <si>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</si>
  <si>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</si>
  <si>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</si>
  <si>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</si>
  <si>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</si>
  <si>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</si>
  <si>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</si>
  <si>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</si>
  <si>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</si>
  <si>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</si>
  <si>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</si>
  <si>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</si>
  <si>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</si>
  <si>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</si>
  <si>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</si>
  <si>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</si>
  <si>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</si>
  <si>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</si>
  <si>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</si>
  <si>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</si>
  <si>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</si>
  <si>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</si>
  <si>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</si>
  <si>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</si>
  <si>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</si>
  <si>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</si>
  <si>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</si>
  <si>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</si>
  <si>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</si>
  <si>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</si>
  <si>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</si>
  <si>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</si>
  <si>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</si>
  <si>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</si>
  <si>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</si>
  <si>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</si>
  <si>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</si>
  <si>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</si>
  <si>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</si>
  <si>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</si>
  <si>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</si>
  <si>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</si>
  <si>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</si>
  <si>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</si>
  <si>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</si>
  <si>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</si>
  <si>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</si>
  <si>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</si>
  <si>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</si>
  <si>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</si>
  <si>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</si>
  <si>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</si>
  <si>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</si>
  <si>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</si>
  <si>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</si>
  <si>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</si>
  <si>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</si>
  <si>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</si>
  <si>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</si>
  <si>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</si>
  <si>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</si>
  <si>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</si>
  <si>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</si>
  <si>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</si>
  <si>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</si>
  <si>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Resouces:</t>
  </si>
  <si>
    <t>Excel Dashboard Tutorial Video</t>
  </si>
  <si>
    <t>Adv. Excel Dashboards Course by Chandoo</t>
  </si>
  <si>
    <t>You will get the full workbook in the course!</t>
  </si>
  <si>
    <t>Count of TX ID</t>
  </si>
  <si>
    <t>Sum of Quantity</t>
  </si>
  <si>
    <t>Sum of Amount</t>
  </si>
  <si>
    <t>Average of Days to Deliver</t>
  </si>
  <si>
    <t>Average of Rating C</t>
  </si>
  <si>
    <t>Display</t>
  </si>
  <si>
    <t>orders</t>
  </si>
  <si>
    <t>quantity</t>
  </si>
  <si>
    <t>amount</t>
  </si>
  <si>
    <t>rating</t>
  </si>
  <si>
    <t>days</t>
  </si>
  <si>
    <t>Row Labels</t>
  </si>
  <si>
    <t>Grand Total</t>
  </si>
  <si>
    <t>Female</t>
  </si>
  <si>
    <t>Male</t>
  </si>
  <si>
    <t>Other</t>
  </si>
  <si>
    <t>Unknown</t>
  </si>
  <si>
    <t>Column Labels</t>
  </si>
  <si>
    <t>6 to 10</t>
  </si>
  <si>
    <t>More than 10</t>
  </si>
  <si>
    <t>California Total</t>
  </si>
  <si>
    <t>Count of Product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</si>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</sst>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809]#,##0"/>
    <numFmt numFmtId="165" formatCode="0.0%"/>
  </numFmts>
  <fonts count="5"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s>
  <fills count="8">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s>
  <borders count="2">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s>
  <cellStyleXfs count="3">
    <xf numFmtId="0" fontId="0" fillId="0" borderId="0"/>
    <xf numFmtId="0" fontId="3" fillId="0" borderId="0" applyNumberFormat="0" applyFill="0" applyBorder="0" applyAlignment="0" applyProtection="0"/>
    <xf numFmtId="9" fontId="4" fillId="0" borderId="0" applyFont="0" applyFill="0" applyBorder="0" applyAlignment="0" applyProtection="0"/>
  </cellStyleXfs>
  <cellXfs count="21">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2" applyNumberFormat="1" applyFont="1"/>
    <xf numFmtId="0" fontId="0" fillId="0" borderId="1" xfId="0" applyBorder="1"/>
    <xf numFmtId="0" fontId="1" fillId="0" borderId="1" xfId="0" applyFont="1" applyBorder="1"/>
    <xf numFmtId="165" fontId="0" fillId="0" borderId="1" xfId="2" applyNumberFormat="1" applyFont="1" applyBorder="1"/>
    <xf numFmtId="0" fontId="0" fillId="0" borderId="0" xfId="0" applyNumberFormat="1"/>
  </cellXfs>
  <cellStyles count="3">
    <cellStyle name="Hyperlink" xfId="1" builtinId="8"/>
    <cellStyle name="Normal" xfId="0" builtinId="0"/>
    <cellStyle name="Percent" xfId="2" builtinId="5"/>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Lat</a:t>
            </a:r>
            <a:r>
              <a:rPr lang="en-IN" baseline="0"/>
              <a:t> 13 weeks trends - Qty vs.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Pivot_table!$B$10:$B$23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Pivot_table!$C$10:$C$23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1470-473C-A3A1-E647622A1C5B}"/>
            </c:ext>
          </c:extLst>
        </c:ser>
        <c:dLbls>
          <c:showLegendKey val="0"/>
          <c:showVal val="0"/>
          <c:showCatName val="0"/>
          <c:showSerName val="0"/>
          <c:showPercent val="0"/>
          <c:showBubbleSize val="0"/>
        </c:dLbls>
        <c:marker val="1"/>
        <c:smooth val="0"/>
        <c:axId val="1399554528"/>
        <c:axId val="1399548288"/>
      </c:lineChart>
      <c:lineChart>
        <c:grouping val="standard"/>
        <c:varyColors val="0"/>
        <c:ser>
          <c:idx val="1"/>
          <c:order val="1"/>
          <c:tx>
            <c:strRef>
              <c:f>Pivot_table!$D$9</c:f>
              <c:strCache>
                <c:ptCount val="1"/>
                <c:pt idx="0">
                  <c:v>Sum of 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Pivot_table!$B$10:$B$23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Pivot_table!$D$10:$D$23</c:f>
              <c:numCache>
                <c:formatCode>[$$-2809]#,##0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1470-473C-A3A1-E647622A1C5B}"/>
            </c:ext>
          </c:extLst>
        </c:ser>
        <c:dLbls>
          <c:showLegendKey val="0"/>
          <c:showVal val="0"/>
          <c:showCatName val="0"/>
          <c:showSerName val="0"/>
          <c:showPercent val="0"/>
          <c:showBubbleSize val="0"/>
        </c:dLbls>
        <c:marker val="1"/>
        <c:smooth val="0"/>
        <c:axId val="1399571808"/>
        <c:axId val="1399563648"/>
      </c:lineChart>
      <c:catAx>
        <c:axId val="139955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48288"/>
        <c:crosses val="autoZero"/>
        <c:auto val="1"/>
        <c:lblAlgn val="ctr"/>
        <c:lblOffset val="100"/>
        <c:noMultiLvlLbl val="0"/>
      </c:catAx>
      <c:valAx>
        <c:axId val="13995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54528"/>
        <c:crosses val="autoZero"/>
        <c:crossBetween val="between"/>
      </c:valAx>
      <c:valAx>
        <c:axId val="1399563648"/>
        <c:scaling>
          <c:orientation val="minMax"/>
        </c:scaling>
        <c:delete val="0"/>
        <c:axPos val="r"/>
        <c:numFmt formatCode="[$$-28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71808"/>
        <c:crosses val="max"/>
        <c:crossBetween val="between"/>
      </c:valAx>
      <c:catAx>
        <c:axId val="1399571808"/>
        <c:scaling>
          <c:orientation val="minMax"/>
        </c:scaling>
        <c:delete val="1"/>
        <c:axPos val="b"/>
        <c:numFmt formatCode="General" sourceLinked="1"/>
        <c:majorTickMark val="out"/>
        <c:minorTickMark val="none"/>
        <c:tickLblPos val="nextTo"/>
        <c:crossAx val="13995636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many they buy?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42745836015786E-2"/>
          <c:y val="0.20833333333333334"/>
          <c:w val="0.8620225930878137"/>
          <c:h val="0.60219201115485566"/>
        </c:manualLayout>
      </c:layout>
      <c:barChart>
        <c:barDir val="col"/>
        <c:grouping val="clustered"/>
        <c:varyColors val="0"/>
        <c:ser>
          <c:idx val="0"/>
          <c:order val="0"/>
          <c:tx>
            <c:strRef>
              <c:f>Pivot_table!$C$29</c:f>
              <c:strCache>
                <c:ptCount val="1"/>
                <c:pt idx="0">
                  <c:v>Total</c:v>
                </c:pt>
              </c:strCache>
            </c:strRef>
          </c:tx>
          <c:spPr>
            <a:solidFill>
              <a:schemeClr val="accent1"/>
            </a:solidFill>
            <a:ln>
              <a:noFill/>
            </a:ln>
            <a:effectLst/>
          </c:spPr>
          <c:invertIfNegative val="0"/>
          <c:cat>
            <c:strRef>
              <c:f>Pivot_table!$B$30:$B$37</c:f>
              <c:strCache>
                <c:ptCount val="7"/>
                <c:pt idx="0">
                  <c:v>1</c:v>
                </c:pt>
                <c:pt idx="1">
                  <c:v>2</c:v>
                </c:pt>
                <c:pt idx="2">
                  <c:v>3</c:v>
                </c:pt>
                <c:pt idx="3">
                  <c:v>4</c:v>
                </c:pt>
                <c:pt idx="4">
                  <c:v>5</c:v>
                </c:pt>
                <c:pt idx="5">
                  <c:v>6 to 10</c:v>
                </c:pt>
                <c:pt idx="6">
                  <c:v>More than 10</c:v>
                </c:pt>
              </c:strCache>
            </c:strRef>
          </c:cat>
          <c:val>
            <c:numRef>
              <c:f>Pivot_table!$C$30:$C$37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406D-4B7A-9AD8-B8ECFF4E8429}"/>
            </c:ext>
          </c:extLst>
        </c:ser>
        <c:dLbls>
          <c:showLegendKey val="0"/>
          <c:showVal val="0"/>
          <c:showCatName val="0"/>
          <c:showSerName val="0"/>
          <c:showPercent val="0"/>
          <c:showBubbleSize val="0"/>
        </c:dLbls>
        <c:gapWidth val="8"/>
        <c:overlap val="-13"/>
        <c:axId val="1399592928"/>
        <c:axId val="1399593408"/>
      </c:barChart>
      <c:catAx>
        <c:axId val="139959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93408"/>
        <c:crosses val="autoZero"/>
        <c:auto val="1"/>
        <c:lblAlgn val="ctr"/>
        <c:lblOffset val="100"/>
        <c:noMultiLvlLbl val="0"/>
      </c:catAx>
      <c:valAx>
        <c:axId val="139959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5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dashboard.xlsx]Pivot_table!gender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Which</a:t>
            </a:r>
            <a:r>
              <a:rPr lang="en-IN" baseline="0"/>
              <a:t> products are popular - Gender wise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93784283188663E-2"/>
          <c:y val="0.19667053570494925"/>
          <c:w val="0.7134512410485726"/>
          <c:h val="0.75240350932229094"/>
        </c:manualLayout>
      </c:layout>
      <c:barChart>
        <c:barDir val="bar"/>
        <c:grouping val="stacked"/>
        <c:varyColors val="0"/>
        <c:ser>
          <c:idx val="0"/>
          <c:order val="0"/>
          <c:tx>
            <c:strRef>
              <c:f>Pivot_table!$H$10:$H$11</c:f>
              <c:strCache>
                <c:ptCount val="1"/>
                <c:pt idx="0">
                  <c:v>Female</c:v>
                </c:pt>
              </c:strCache>
            </c:strRef>
          </c:tx>
          <c:spPr>
            <a:solidFill>
              <a:schemeClr val="accent1"/>
            </a:solidFill>
            <a:ln>
              <a:noFill/>
            </a:ln>
            <a:effectLst/>
          </c:spPr>
          <c:invertIfNegative val="0"/>
          <c:cat>
            <c:strRef>
              <c:f>Pivot_table!$G$12:$G$32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Pivot_table!$H$12:$H$32</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E85D-4DB9-98D3-8604A9A58CC1}"/>
            </c:ext>
          </c:extLst>
        </c:ser>
        <c:ser>
          <c:idx val="1"/>
          <c:order val="1"/>
          <c:tx>
            <c:strRef>
              <c:f>Pivot_table!$I$10:$I$11</c:f>
              <c:strCache>
                <c:ptCount val="1"/>
                <c:pt idx="0">
                  <c:v>Male</c:v>
                </c:pt>
              </c:strCache>
            </c:strRef>
          </c:tx>
          <c:spPr>
            <a:solidFill>
              <a:schemeClr val="accent2"/>
            </a:solidFill>
            <a:ln>
              <a:noFill/>
            </a:ln>
            <a:effectLst/>
          </c:spPr>
          <c:invertIfNegative val="0"/>
          <c:cat>
            <c:strRef>
              <c:f>Pivot_table!$G$12:$G$32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Pivot_table!$I$12:$I$32</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F5DD-4C10-BA44-814FA1B5E622}"/>
            </c:ext>
          </c:extLst>
        </c:ser>
        <c:ser>
          <c:idx val="2"/>
          <c:order val="2"/>
          <c:tx>
            <c:strRef>
              <c:f>Pivot_table!$J$10:$J$11</c:f>
              <c:strCache>
                <c:ptCount val="1"/>
                <c:pt idx="0">
                  <c:v>Other</c:v>
                </c:pt>
              </c:strCache>
            </c:strRef>
          </c:tx>
          <c:spPr>
            <a:solidFill>
              <a:schemeClr val="accent3"/>
            </a:solidFill>
            <a:ln>
              <a:noFill/>
            </a:ln>
            <a:effectLst/>
          </c:spPr>
          <c:invertIfNegative val="0"/>
          <c:cat>
            <c:strRef>
              <c:f>Pivot_table!$G$12:$G$32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Pivot_table!$J$12:$J$32</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F5DD-4C10-BA44-814FA1B5E622}"/>
            </c:ext>
          </c:extLst>
        </c:ser>
        <c:ser>
          <c:idx val="3"/>
          <c:order val="3"/>
          <c:tx>
            <c:strRef>
              <c:f>Pivot_table!$K$10:$K$11</c:f>
              <c:strCache>
                <c:ptCount val="1"/>
                <c:pt idx="0">
                  <c:v>Unknown</c:v>
                </c:pt>
              </c:strCache>
            </c:strRef>
          </c:tx>
          <c:spPr>
            <a:solidFill>
              <a:schemeClr val="accent4"/>
            </a:solidFill>
            <a:ln>
              <a:noFill/>
            </a:ln>
            <a:effectLst/>
          </c:spPr>
          <c:invertIfNegative val="0"/>
          <c:cat>
            <c:strRef>
              <c:f>Pivot_table!$G$12:$G$32</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Pivot_table!$K$12:$K$32</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F5DD-4C10-BA44-814FA1B5E622}"/>
            </c:ext>
          </c:extLst>
        </c:ser>
        <c:dLbls>
          <c:showLegendKey val="0"/>
          <c:showVal val="0"/>
          <c:showCatName val="0"/>
          <c:showSerName val="0"/>
          <c:showPercent val="0"/>
          <c:showBubbleSize val="0"/>
        </c:dLbls>
        <c:gapWidth val="32"/>
        <c:overlap val="100"/>
        <c:axId val="1707632976"/>
        <c:axId val="1707619536"/>
      </c:barChart>
      <c:catAx>
        <c:axId val="1707632976"/>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19536"/>
        <c:crosses val="autoZero"/>
        <c:auto val="1"/>
        <c:lblAlgn val="ctr"/>
        <c:lblOffset val="100"/>
        <c:noMultiLvlLbl val="0"/>
      </c:catAx>
      <c:valAx>
        <c:axId val="170761953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3297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dashboard.xlsx]Pivot_table!PivotTable5</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4"/>
          </a:solidFill>
          <a:ln w="19050">
            <a:solidFill>
              <a:schemeClr val="lt1"/>
            </a:solidFill>
          </a:ln>
          <a:effectLst/>
        </c:spPr>
        <c:dLbl>
          <c:idx val="0"/>
          <c:layout>
            <c:manualLayout>
              <c:x val="6.111111111111110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4.1666666666666664E-2"/>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6666666666666566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6666666666666566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4.1666666666666664E-2"/>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111111111111110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6666666666666566E-2"/>
              <c:y val="-4.16666666666666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4.1666666666666664E-2"/>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6.1111111111111109E-2"/>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8477915582440614E-2"/>
          <c:y val="0.15295651369569996"/>
          <c:w val="0.73614241107792555"/>
          <c:h val="0.75235700163030284"/>
        </c:manualLayout>
      </c:layout>
      <c:doughnutChart>
        <c:varyColors val="1"/>
        <c:ser>
          <c:idx val="0"/>
          <c:order val="0"/>
          <c:tx>
            <c:strRef>
              <c:f>Pivot_table!$P$10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9D-4445-B18F-6B49190F02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9D-4445-B18F-6B49190F02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9D-4445-B18F-6B49190F02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9D-4445-B18F-6B49190F02F1}"/>
              </c:ext>
            </c:extLst>
          </c:dPt>
          <c:dLbls>
            <c:dLbl>
              <c:idx val="0"/>
              <c:layout>
                <c:manualLayout>
                  <c:x val="1.6666666666666566E-2"/>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9D-4445-B18F-6B49190F02F1}"/>
                </c:ext>
              </c:extLst>
            </c:dLbl>
            <c:dLbl>
              <c:idx val="2"/>
              <c:layout>
                <c:manualLayout>
                  <c:x val="-4.1666666666666664E-2"/>
                  <c:y val="-0.10185185185185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9D-4445-B18F-6B49190F02F1}"/>
                </c:ext>
              </c:extLst>
            </c:dLbl>
            <c:dLbl>
              <c:idx val="3"/>
              <c:layout>
                <c:manualLayout>
                  <c:x val="6.1111111111111109E-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39D-4445-B18F-6B49190F02F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Pivot_table!$O$11:$O$15</c:f>
              <c:strCache>
                <c:ptCount val="4"/>
                <c:pt idx="0">
                  <c:v>Female</c:v>
                </c:pt>
                <c:pt idx="1">
                  <c:v>Male</c:v>
                </c:pt>
                <c:pt idx="2">
                  <c:v>Other</c:v>
                </c:pt>
                <c:pt idx="3">
                  <c:v>Unknown</c:v>
                </c:pt>
              </c:strCache>
            </c:strRef>
          </c:cat>
          <c:val>
            <c:numRef>
              <c:f>Pivot_table!$P$11:$P$15</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539D-4445-B18F-6B49190F02F1}"/>
            </c:ext>
          </c:extLst>
        </c:ser>
        <c:dLbls>
          <c:showLegendKey val="0"/>
          <c:showVal val="0"/>
          <c:showCatName val="0"/>
          <c:showSerName val="0"/>
          <c:showPercent val="0"/>
          <c:showBubbleSize val="0"/>
          <c:showLeaderLines val="0"/>
        </c:dLbls>
        <c:firstSliceAng val="0"/>
        <c:holeSize val="4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dashboard.xlsx]Pivot_table!PivotTable8</c:name>
    <c:fmtId val="3"/>
  </c:pivotSource>
  <c:chart>
    <c:title>
      <c:tx>
        <c:rich>
          <a:bodyPr/>
          <a:lstStyle/>
          <a:p>
            <a:pPr>
              <a:defRPr sz="1050" b="0">
                <a:latin typeface="+mj-lt"/>
              </a:defRPr>
            </a:pPr>
            <a:r>
              <a:rPr lang="en-IN" sz="1050" b="0">
                <a:latin typeface="+mj-lt"/>
              </a:rPr>
              <a:t>How</a:t>
            </a:r>
            <a:r>
              <a:rPr lang="en-IN" sz="1050" b="0" baseline="0">
                <a:latin typeface="+mj-lt"/>
              </a:rPr>
              <a:t> long we take to ship?</a:t>
            </a:r>
            <a:endParaRPr lang="en-IN" sz="1050" b="0">
              <a:latin typeface="+mj-lt"/>
            </a:endParaRP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Pivot_table!$B$138</c:f>
              <c:strCache>
                <c:ptCount val="1"/>
                <c:pt idx="0">
                  <c:v>Total</c:v>
                </c:pt>
              </c:strCache>
            </c:strRef>
          </c:tx>
          <c:spPr>
            <a:solidFill>
              <a:schemeClr val="accent1"/>
            </a:solidFill>
            <a:ln>
              <a:noFill/>
            </a:ln>
            <a:effectLst/>
          </c:spPr>
          <c:invertIfNegative val="0"/>
          <c:cat>
            <c:strRef>
              <c:f>Pivot_table!$A$139:$A$154</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Pivot_table!$B$139:$B$154</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C-FA09-40AA-99F2-D529EB492B61}"/>
            </c:ext>
          </c:extLst>
        </c:ser>
        <c:dLbls>
          <c:showLegendKey val="0"/>
          <c:showVal val="0"/>
          <c:showCatName val="0"/>
          <c:showSerName val="0"/>
          <c:showPercent val="0"/>
          <c:showBubbleSize val="0"/>
        </c:dLbls>
        <c:gapWidth val="219"/>
        <c:overlap val="-27"/>
        <c:axId val="226111136"/>
        <c:axId val="226113056"/>
      </c:barChart>
      <c:catAx>
        <c:axId val="226111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13056"/>
        <c:crosses val="autoZero"/>
        <c:auto val="1"/>
        <c:lblAlgn val="ctr"/>
        <c:lblOffset val="100"/>
        <c:noMultiLvlLbl val="0"/>
      </c:catAx>
      <c:valAx>
        <c:axId val="22611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1113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dashboard.xlsx]Pivot_table!PivotTable9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satisfied are the customers?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Pivot_table!$E$138:$E$139</c:f>
              <c:strCache>
                <c:ptCount val="1"/>
                <c:pt idx="0">
                  <c:v>1</c:v>
                </c:pt>
              </c:strCache>
            </c:strRef>
          </c:tx>
          <c:spPr>
            <a:solidFill>
              <a:schemeClr val="accent1"/>
            </a:solidFill>
            <a:ln>
              <a:noFill/>
            </a:ln>
            <a:effectLst/>
          </c:spPr>
          <c:invertIfNegative val="0"/>
          <c:cat>
            <c:strRef>
              <c:f>Pivot_table!$D$140:$D$143</c:f>
              <c:strCache>
                <c:ptCount val="3"/>
                <c:pt idx="0">
                  <c:v>Jan</c:v>
                </c:pt>
                <c:pt idx="1">
                  <c:v>Feb</c:v>
                </c:pt>
                <c:pt idx="2">
                  <c:v>Mar</c:v>
                </c:pt>
              </c:strCache>
            </c:strRef>
          </c:cat>
          <c:val>
            <c:numRef>
              <c:f>Pivot_table!$E$140:$E$143</c:f>
              <c:numCache>
                <c:formatCode>General</c:formatCode>
                <c:ptCount val="3"/>
                <c:pt idx="0">
                  <c:v>7</c:v>
                </c:pt>
                <c:pt idx="1">
                  <c:v>8</c:v>
                </c:pt>
                <c:pt idx="2">
                  <c:v>6</c:v>
                </c:pt>
              </c:numCache>
            </c:numRef>
          </c:val>
          <c:extLst>
            <c:ext xmlns:c16="http://schemas.microsoft.com/office/drawing/2014/chart" uri="{C3380CC4-5D6E-409C-BE32-E72D297353CC}">
              <c16:uniqueId val="{00000000-F26B-494E-BC5F-5722A4859D8E}"/>
            </c:ext>
          </c:extLst>
        </c:ser>
        <c:ser>
          <c:idx val="1"/>
          <c:order val="1"/>
          <c:tx>
            <c:strRef>
              <c:f>Pivot_table!$F$138:$F$139</c:f>
              <c:strCache>
                <c:ptCount val="1"/>
                <c:pt idx="0">
                  <c:v>2</c:v>
                </c:pt>
              </c:strCache>
            </c:strRef>
          </c:tx>
          <c:spPr>
            <a:solidFill>
              <a:schemeClr val="accent2"/>
            </a:solidFill>
            <a:ln>
              <a:noFill/>
            </a:ln>
            <a:effectLst/>
          </c:spPr>
          <c:invertIfNegative val="0"/>
          <c:cat>
            <c:strRef>
              <c:f>Pivot_table!$D$140:$D$143</c:f>
              <c:strCache>
                <c:ptCount val="3"/>
                <c:pt idx="0">
                  <c:v>Jan</c:v>
                </c:pt>
                <c:pt idx="1">
                  <c:v>Feb</c:v>
                </c:pt>
                <c:pt idx="2">
                  <c:v>Mar</c:v>
                </c:pt>
              </c:strCache>
            </c:strRef>
          </c:cat>
          <c:val>
            <c:numRef>
              <c:f>Pivot_table!$F$140:$F$143</c:f>
              <c:numCache>
                <c:formatCode>General</c:formatCode>
                <c:ptCount val="3"/>
                <c:pt idx="0">
                  <c:v>37</c:v>
                </c:pt>
                <c:pt idx="1">
                  <c:v>51</c:v>
                </c:pt>
                <c:pt idx="2">
                  <c:v>39</c:v>
                </c:pt>
              </c:numCache>
            </c:numRef>
          </c:val>
          <c:extLst>
            <c:ext xmlns:c16="http://schemas.microsoft.com/office/drawing/2014/chart" uri="{C3380CC4-5D6E-409C-BE32-E72D297353CC}">
              <c16:uniqueId val="{00000001-F26B-494E-BC5F-5722A4859D8E}"/>
            </c:ext>
          </c:extLst>
        </c:ser>
        <c:ser>
          <c:idx val="2"/>
          <c:order val="2"/>
          <c:tx>
            <c:strRef>
              <c:f>Pivot_table!$G$138:$G$139</c:f>
              <c:strCache>
                <c:ptCount val="1"/>
                <c:pt idx="0">
                  <c:v>3</c:v>
                </c:pt>
              </c:strCache>
            </c:strRef>
          </c:tx>
          <c:spPr>
            <a:solidFill>
              <a:schemeClr val="accent3"/>
            </a:solidFill>
            <a:ln>
              <a:noFill/>
            </a:ln>
            <a:effectLst/>
          </c:spPr>
          <c:invertIfNegative val="0"/>
          <c:cat>
            <c:strRef>
              <c:f>Pivot_table!$D$140:$D$143</c:f>
              <c:strCache>
                <c:ptCount val="3"/>
                <c:pt idx="0">
                  <c:v>Jan</c:v>
                </c:pt>
                <c:pt idx="1">
                  <c:v>Feb</c:v>
                </c:pt>
                <c:pt idx="2">
                  <c:v>Mar</c:v>
                </c:pt>
              </c:strCache>
            </c:strRef>
          </c:cat>
          <c:val>
            <c:numRef>
              <c:f>Pivot_table!$G$140:$G$143</c:f>
              <c:numCache>
                <c:formatCode>General</c:formatCode>
                <c:ptCount val="3"/>
                <c:pt idx="0">
                  <c:v>150</c:v>
                </c:pt>
                <c:pt idx="1">
                  <c:v>182</c:v>
                </c:pt>
                <c:pt idx="2">
                  <c:v>163</c:v>
                </c:pt>
              </c:numCache>
            </c:numRef>
          </c:val>
          <c:extLst>
            <c:ext xmlns:c16="http://schemas.microsoft.com/office/drawing/2014/chart" uri="{C3380CC4-5D6E-409C-BE32-E72D297353CC}">
              <c16:uniqueId val="{00000002-F26B-494E-BC5F-5722A4859D8E}"/>
            </c:ext>
          </c:extLst>
        </c:ser>
        <c:ser>
          <c:idx val="3"/>
          <c:order val="3"/>
          <c:tx>
            <c:strRef>
              <c:f>Pivot_table!$H$138:$H$139</c:f>
              <c:strCache>
                <c:ptCount val="1"/>
                <c:pt idx="0">
                  <c:v>4</c:v>
                </c:pt>
              </c:strCache>
            </c:strRef>
          </c:tx>
          <c:spPr>
            <a:solidFill>
              <a:schemeClr val="accent4"/>
            </a:solidFill>
            <a:ln>
              <a:noFill/>
            </a:ln>
            <a:effectLst/>
          </c:spPr>
          <c:invertIfNegative val="0"/>
          <c:cat>
            <c:strRef>
              <c:f>Pivot_table!$D$140:$D$143</c:f>
              <c:strCache>
                <c:ptCount val="3"/>
                <c:pt idx="0">
                  <c:v>Jan</c:v>
                </c:pt>
                <c:pt idx="1">
                  <c:v>Feb</c:v>
                </c:pt>
                <c:pt idx="2">
                  <c:v>Mar</c:v>
                </c:pt>
              </c:strCache>
            </c:strRef>
          </c:cat>
          <c:val>
            <c:numRef>
              <c:f>Pivot_table!$H$140:$H$143</c:f>
              <c:numCache>
                <c:formatCode>General</c:formatCode>
                <c:ptCount val="3"/>
                <c:pt idx="0">
                  <c:v>312</c:v>
                </c:pt>
                <c:pt idx="1">
                  <c:v>373</c:v>
                </c:pt>
                <c:pt idx="2">
                  <c:v>351</c:v>
                </c:pt>
              </c:numCache>
            </c:numRef>
          </c:val>
          <c:extLst>
            <c:ext xmlns:c16="http://schemas.microsoft.com/office/drawing/2014/chart" uri="{C3380CC4-5D6E-409C-BE32-E72D297353CC}">
              <c16:uniqueId val="{00000003-F26B-494E-BC5F-5722A4859D8E}"/>
            </c:ext>
          </c:extLst>
        </c:ser>
        <c:ser>
          <c:idx val="4"/>
          <c:order val="4"/>
          <c:tx>
            <c:strRef>
              <c:f>Pivot_table!$I$138:$I$139</c:f>
              <c:strCache>
                <c:ptCount val="1"/>
                <c:pt idx="0">
                  <c:v>5</c:v>
                </c:pt>
              </c:strCache>
            </c:strRef>
          </c:tx>
          <c:spPr>
            <a:solidFill>
              <a:schemeClr val="accent5"/>
            </a:solidFill>
            <a:ln>
              <a:noFill/>
            </a:ln>
            <a:effectLst/>
          </c:spPr>
          <c:invertIfNegative val="0"/>
          <c:cat>
            <c:strRef>
              <c:f>Pivot_table!$D$140:$D$143</c:f>
              <c:strCache>
                <c:ptCount val="3"/>
                <c:pt idx="0">
                  <c:v>Jan</c:v>
                </c:pt>
                <c:pt idx="1">
                  <c:v>Feb</c:v>
                </c:pt>
                <c:pt idx="2">
                  <c:v>Mar</c:v>
                </c:pt>
              </c:strCache>
            </c:strRef>
          </c:cat>
          <c:val>
            <c:numRef>
              <c:f>Pivot_table!$I$140:$I$143</c:f>
              <c:numCache>
                <c:formatCode>General</c:formatCode>
                <c:ptCount val="3"/>
                <c:pt idx="0">
                  <c:v>224</c:v>
                </c:pt>
                <c:pt idx="1">
                  <c:v>247</c:v>
                </c:pt>
                <c:pt idx="2">
                  <c:v>250</c:v>
                </c:pt>
              </c:numCache>
            </c:numRef>
          </c:val>
          <c:extLst>
            <c:ext xmlns:c16="http://schemas.microsoft.com/office/drawing/2014/chart" uri="{C3380CC4-5D6E-409C-BE32-E72D297353CC}">
              <c16:uniqueId val="{00000008-F26B-494E-BC5F-5722A4859D8E}"/>
            </c:ext>
          </c:extLst>
        </c:ser>
        <c:dLbls>
          <c:showLegendKey val="0"/>
          <c:showVal val="0"/>
          <c:showCatName val="0"/>
          <c:showSerName val="0"/>
          <c:showPercent val="0"/>
          <c:showBubbleSize val="0"/>
        </c:dLbls>
        <c:gapWidth val="219"/>
        <c:overlap val="-27"/>
        <c:axId val="226100576"/>
        <c:axId val="226106816"/>
      </c:barChart>
      <c:catAx>
        <c:axId val="22610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6816"/>
        <c:crosses val="autoZero"/>
        <c:auto val="1"/>
        <c:lblAlgn val="ctr"/>
        <c:lblOffset val="100"/>
        <c:noMultiLvlLbl val="0"/>
      </c:catAx>
      <c:valAx>
        <c:axId val="22610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10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our customers live?</a:t>
          </a:r>
        </a:p>
      </cx:txPr>
    </cx:title>
    <cx:plotArea>
      <cx:plotAreaRegion>
        <cx:plotSurface>
          <cx:spPr>
            <a:ln>
              <a:noFill/>
            </a:ln>
          </cx:spPr>
        </cx:plotSurface>
        <cx:series layoutId="regionMap" uniqueId="{A73855B3-CA06-4328-9E58-D2E15082EEDF}">
          <cx:spPr>
            <a:solidFill>
              <a:srgbClr val="FFFF00"/>
            </a:solidFill>
            <a:ln>
              <a:solidFill>
                <a:schemeClr val="bg2">
                  <a:lumMod val="10000"/>
                </a:schemeClr>
              </a:solidFill>
            </a:ln>
          </cx:spPr>
          <cx:dataId val="0"/>
          <cx:layoutPr>
            <cx:geography cultureLanguage="en-US" cultureRegion="IN" attribution="Powered by Bing">
              <cx:geoCache provider="{E9337A44-BEBE-4D9F-B70C-5C5E7DAFC167}">
                <cx:binary>7H1rc9s40u5fSeXzoQcXggC2drZqSF0s3xM7t/nCUmyFBO8keP/1p2k7WYuS89JVo6rzqo6yU1uJ
1FCLD9DofrrR+Pd9+6/7aLMu3rVxlOh/3bd/vvfLMvvXH3/oe38Tr/VJrO6LVKc/ypP7NP4j/fFD
3W/+eCjWjUq8PwjC5h/3/rooN+37//wbRvM26UV6vy5VmnyoNkX3caOrqNS/eW/vW+/WD7FKZkqX
hbov8Z/vnXWkfqRFotbvt98jf76/TJNyU2y6d05aJWX3/t0mKVXZ3XXZ5s/3WwOR9+/+GH/fjm7v
IlC/rB5AmFonFrc4p4ijxxd9/y5KE+/5bQMTfGIxy7SoBUM/fe3VOgbJt+j0qNH64aHYaA0/7vH/
94yw9Uvgifw14UncD09kQMEDQP58/ylR5ebh3W25Ljf6/Tul08dHVnROOvzcT7ePz+ePbRz/8+/R
P8ATG/3LC6jHj/d/emsbzf8B6b8ieLgP6wMAzU8EMgURFpWPLz4GmpwQTkw+xvkNGu2HeTzABJTH
IkcHcqaSzQEwFieWpMzCzHzCWIwwxvKEw4sxbm4v5r+iqRq9hvGW/CSItySODGEnjSp9iFUsTwiS
hALET+YajPK2uSYnCAlqSZNtIzxdo/0Ij+QnIDySODKE7aosD7GE5QnDhJrotSUM+zFjpoVhY94G
eLJC+/HdFp8A77bAkaH7V7x+SIuDWGgKWywiAgzw9sJFYJoJkRTJx5U9Qne6QvvhHclPwHckcWQA
g7e9rjfFWh8EYywtggl/dql3bDQ6scRgxU1rewm/San9OO8OMQHqXaEjQ/tW6VB1afXPg23iE04x
E+SnWy3H65qcWOCSMWRBZPUyfnqLTvux3hlhAtQ7MkeG9EWq3/2VeJtoc4iVbZ4gRggVJnvFvxYn
xKRg4fHT0h8Z8Tcqtx/1fYNMAH6f2JFh7wBLUgxOty4P4XqLE4SFlJTy/eATcoKpKRjHEHa9XOlv
1Ws/7ntHmQD8XrkjQ362id5dpcDRHcbAMxNcswH74bXDm5gQkpkUeJMRQfYmpfZjvjvEBMB3hY4M
7VXSpf880MCECkQYQfyZPBnv5FicYCktS4jR+p6qz36Mt6QnwLv1+SNDdh69m6UFhF4HgFeccCIt
Rp7pTzmGl0AAJiUGA27tC8DepNp+pHeHmAD3rtCRYX67Tt7N1MY7BObkhGPGmSQ7RCg/wRYVWNBn
T257x36TTvvB3h1iAti7QkcG9gIyQMkhkLaGMMxiDIOJfnyNwrCB+RYM/uARLzpdo/04j+QngDyS
ODKEl9EmSQ5gvoEXJYhhSYAz2SbOwO2WAnPKRv7XZE32A7stPgHXbYEjg/W0ir+n0UP5zyNrwr4r
LGyau8iaYKQxRZC0/LmmX4ZVb1FpP8Q7I0xAeUfmyIC+9dcHCZ8BZsg6wp5LX2NFyQlsyEgAlTba
jCdrtB/l0S+agPFI4sgQ/qiA+Nbq4QDBMqUnUiBG6ZMLjRAQYFvGGvMTCrQ4wRzc75eL+U1K7cd5
d4gJUO8KHRnaqzjbFGod/fOGm4J3DZ41Myl+ykWPS4cwOwHiG3wySHgNrxEb+hbN9iO+M8IEwHdk
jgzvy/Qhvf/nwYY8hymRZBJbT3vxjhsG9t0kkLXGozzHZIX2Y7wtPgHgbYEjQ/d8UxzCuWZglR9r
Dp7t9o7Zlo/cN6YE2M+XZnuqPvux3ZKeAO3W548M2SH0v4SixUMEx/zEFEBhQ2nY09rdobCh9I8I
bEpzZKLfpNR+jHeHmAD0rtARor0o1sm90vfpzyX1T5TzcgimEOLAUT9BvcNykhMTapqZoCMHbHjk
vzSasn+8DvfuMBMh3xU8MtjPoaT8EHlp6wQsMxTv/sxLj1EH9suC96BmbGy/pyq0H+3t3zMB5W2B
I0P3Yh0eIqaCvRdcbI6gNOzxtVNORE4kZtgSfBQ4T9VnP7Zb0hOg3fr8kSF7uX6AWrEpVvHNpy+g
UgyYS/5czjt2vCApBYVDsHvjkbmertF+dEfyE/AdSRwZwhdrrTcHcK2B9jKhHF9I8rR40ThIBoQt
eNsU1sg0T9doP8Ij+QkIjySODOFvaXQI3xqOXHCoGICC7RHVBYXa8AbHQGH/dPCeDk5NVWQ/rFvS
E0Dd+vyRQXpXwTGL+CAnaTgQmUSaJpAej689hpkKgrEgI7rjLTrtR3hnhAko78gcGdJw2PAwi5fA
WShh/QyWxoEx+M0QGAsJztf2Gp6qz36Et6QnoLv1+WNDdl2oA+y7FBYwN6H2Az3X+4wrQKBak1EM
u64cVXNdTlXoFWy3xKeAuyVwbOhuEqCj1UEWrzwBxgrqMflz+mHHRFMozOQWpUPJ5kvS8vItSr2C
8s4QU5DeETo2tGEqZ+lBzj0+UpgQJolnP3oMNlhqaZlcEDDVj68R5G/Q7BXExyNMAXwsc2x4b4p7
OGzv/ONNCSBLjCxp/dqYd4w3RFUCSzhmYf70zrYX+FS9XsF6+3dNQXpb4shwvtrU64P0JAD3yiJc
UPRMf+wExxjyTnCU2ZQjamu6RvsRHslPQHgkcWwIr7ND0FtwHEoCLQ2881MUtYMvJJ6A+0Bg1rft
9dVEfV5B96X0FGxffv7IkL1No/VB3C/AlkG1/NA65qcN3ir1AQcbmVIwND7lOl2j/eiO5CfgO5I4
MoRvovX95jBn1SHyHU5EPHMgO6sXrDMfqn/Ir1zjy114ul77cR7JT8B5JHFkOF9Dvtg7RIKJQh0X
oCys17rGQOsgBn0JrHEF13SN9iM8kp+A8EjiyBAecvD2BjpYHYLrguNtDCw2ZJt+rdZtew0VXogg
qMQe+Vpv02o/0nvGmID2HqkjQ/wG+OuD9KCAcJhaHE67PZ+HGTObkHaCnBPU89HReZjpGu1HeiQ/
AeWRxJEhfDv0CTrE7gz0FyUE2ow8I7wTI0PjvsFD24mdpmu0H+GR/ASERxLHhvD6voCmfclBrLaA
UxPQ082EfjGPr511PNTlDn+gfHN4jXKNt2/S7RW8d8eYgvmu1JHh/hkgrw5SFQIdBQQ0cUOvdZoY
0lIS/G4LjXIXb1BpP9bjASYAPRY5MpTBBxm6iRRVfwCe0xqSVNhEP4vqd2w4xNCQf0Tge2/zI2/T
aj/We8aYAPceqeNDHLzwIlkXD4dJXMGxRljdcPb8mTkZx9VwSApKDxDE3jugv1GxV4HfN8408PdJ
HuEEOEvXeXWoxDSkpU0CZdiPrzH6UDdEJJTySvlEiu/s6Mm7Nyj3+gwYDzIR/rHYEWJ/USn97vq7
0tkh4nAGmzuxIKsBZn14jTOZQ0EgHMOBBp97lv8bVXsd/X0DTZwB+0SPbxbApm+vi+/rAzl4sPqH
2pPXu1VYUlATQyPfx9fORvA29V6dB3uGmTYL9gge5RxwosPMAMhwQ5tAKOl/Lj3b8fzwCZzhwZD6
HPEzz/7XVLV+h/z2b5uM+7bYsaGuNsVBljz0L7EQlIyKpzh9Xx04vAlGATJmz9vCy2TK7WS9XkF8
W34K2NsSR4bzXQUr6BDJFDiKRREG3+6VwuHH2H1Y2gwcv5cIT9doP8Ij+QkIjySODOFbKBmOD1PU
YFJpQV3DazemPHYds0w4tbON8HSN9iM8kp+A8Eji2BAu14nS0bo6xJFKDsdyEDSVsl47dQfJbzQ0
++UjDg6unnmDVq8gvTvGFLR3pY4M8buNvz7EmoZTWtCkxILmzq845FDMAu3aITU6WHZ4jYLy6Xrt
x3skPwHrkcSx4QxnAuB+q3+ecR2ajcFRaSBgngOrnXwKHKaFejQIvMYQT1fpFYxHA0wBeSRyZCh/
q74fYn8ezgVg6DoEp3YeXzvnpeEGFTgrLaAZ2fb+PFWf/fhuSU8Ad+vz/wuQ/b2KWz94uOPsr5/P
dk9Xi7feUQd8OFx5YwFb8oTomDIDn9rC4I8B7vvoErje4tfNek8e9z6d9qP6UnbrNz79xN8/lMPc
Pvf6zXS/Lvqbrcv1/PGKwBeX0/3+3cefD3cbjkSfQ5Q9D+xXxe7q4c/3UN9Lh+qxF8gOA20FOM+X
uv2cF9tiG+g6+Of7x+sGzaHuX8BpDgFd1YH9aDbPb0GDQA53LyBKCaKYwFsJ9Hz34RJDOOwFtabQ
Wc4csmlQ9vD+nU6r57eAQ6Gw3uF0CKTJoUn7z196k0adlya/Hsvz398lVXyTqqTU8LOGfhnZ0+cG
fRli0CMaatah36gFFB4kYeH9+/XHoY0GfPz/iNbLZSX86jpQZXYmImleFkl7LpIod1hVfLbieJYH
ZXiapDzqN36qc+ND1XV2l/fKEbiNPkg/S+wy7D6UnnmW6jhd5JFWNu672uYhNpYqqk3bzPyFF9b+
qslL5HiZa9q60Z7vyDpPFjHPouq287Jv0u9S24BSIJuXrQqcjGjzrG6N/oxlSeu7Tic6dVZF4awj
rnFaGsUPTya9owzkLjucVraPQ7mKKq/+nEkhzomywktBk2yJ1W1WUT+bi7hDiwwLNasLA814LZNZ
Sns6iyJFbGJJzy6wPA95Uc5zDzusJOWCtdmVYH5t1zSVizrqW9twy3ah/aQ5LRp9hbWWTpnk34rG
u+hwM/dRNyOaXCLTO2/60rfLIKts5Xa5HQjhNJWu5gkgbHuuUc7hy7wfbpNaf3d9ULuLnOW+XSGj
d4Sv8aksqo9+SG9FgJJqlVm+UX5QOMlPWZ45Se5bpznrdHJrlUgWtl+5vLYpd80lxU0d2MxlP0K3
albDtTLLKgnDWR8nN12grywzO0si/ypH5FyUxiLVzZkRW7O09xY6T2wU9A5T2UOTkI+qlN9e3ki5
NSfv06wrlOc/Xy7666//uUtj+N/jFZX//cfhbtL//m25SYfT5nr8ocF4/PrUf6+5HBbrrzsvRybg
6YLTn6vmLW++bjxeGgEGBYm/sxsvTfCT+X5cio9SP80GhpzqcC0LrH040SsYDPjLbJhQ1wicGoRz
AraQocXVs9kwIbuOh9O/aNg34IIHiOR+mg0Cp0NhQGimJKBjqZD4bWZjbDUkBA7QocWCYnkKqT+w
Ty+tRtnTNMurqr1KGirndeP6mZ3SgIdOyJv6g2Ww7ixo6yScIxSW38rUrD+Fpm5zW8sk//Li6e0z
Yjs2DGwrXD8FF0Gaw42gg6f7Uhsz6bJQ+lV9RfIEX3lhn7h2xVPLd9q6TKVdN2b1jdeZoewiFmXu
5EERerbba246UDKePMiyRNcwhl/NSBThTz0zBF52FnM3uDNwu/i9xgSIk22rCxrDNbXQRUMyDv2A
0UhjxX3AtiuvaMs8b2a1ffSphsMHdFHyLmV23bU4mCnuCrvnVqfsLkR0GddFh2dFnZYPfqs1BpuX
sZmGm31ru4x9BOa2YKE399LAvwkreRZr6esZuJXys/bz8zBqWDtX2rAuVeHX8fL3v2oXBiieR9BC
E64OgWb0jz/6xVbCO8NrjCzSV0npys+pJzCxzZDA1MiSqr1p2kLeZi6Ovv7+a4e59nIHg0NzcEMN
p3D/GJyNJnRQ68XXMtR6Zqa95CoRPb7CoV9dJbpwlHD9z7//Jlg+O98koaSYQ3MT8MbFaJ5lidn1
eeGnVyJD5jpv0iJauqXoiB1m/hzlVdQ7FHUidQLKmvh/mjTDpNj+oTBR4EIPE+5ZgzbS46+HgyvK
95JYXfE8ZOs4qNg6jAYdWB/ruVWkqd0hgH7ZRHlD7DxM+aaMpF41sjMvWosWyKFNkIZOwJP4Ey0y
Qme+6LpNZtTZDHaamDtMpmZxyqjVV/bvn97QmH6sPx/MBuQA4Vpe6DGyDRSyKpYw5hqXuHLjtSpK
7dnYCMvEtGnXJd5Z46vwuydkdtH2ub+wUrNVDsE1/1Hyvk+dzve4Y6ZBvVEF5Q81y3x+9nslTbYD
MjUpTKIhnIbj2IxDTPVyOlmFUKjwS3oZmHnmSjErpd8v27KlclHWVeUUbY4+1HHHwNPwfe4UOFlq
UmTLyMyIE0Z5/DGLWNzaPGq8L00Qp6tOl6WdwUb9ydKhmLl54jpVGgTKViUNGtsNdHLVZIa+zo2e
zj0Py8A2ejeJHVL78SmzyugjCbwbr0toa0cVz69KN78rSWzQmVUTeJCqI2AbzKrvbdSI4CLymfjm
oso88y2BL3qvraXTIN+MHZh0amWIoovtphP9DDfMmPVBe5/pvLwFl4P7dhOXfOHqvFqZLiF3uY+b
cOlyAyu790P3O2QCi9pWSW78XcU8nmWZJqswTbIVzmX0oOrMgnVP4/BWSbfldp2b3lnhFpXTwXNY
YpPI67yJ27nZFPkC4xbX8wiuovKcuvFE7tTEd+expsWsyuS17xoemmGclqew1ZDGSVBg2aLk0dc2
Rv45KWR2y2jJlpUMDLLQVtyvhZUWc43aoF/UofAWRtuiNdFR80N7WcacnpSoshOP1N6iLYMUFkfT
zDuvrsSiSF1/FpU0Pk3gozaY8yKFBx3X3A50EBgOdxtu85S1vW2WkevQ0kjiZWGFc8+sOvShodiE
y9ILFNkBzKRyQctG6mVLeXthhX0fuR8q8ITj2O5U1CXFg+/6hPTfdGO0PPZtWYApT+9JFwclLeDu
0qrK0FUZlnHYnkmV98taVqW7igulMjsgUXqLuEFXQUdp5VSAgQsuOpItwBULMUtcF/bDMgqbfG6F
jYecIiqxe+3nyOLpadjxxp91bSTLC0uXFGZU46ZYN04Fe+HCMvzAva5h6Viek4tMwISjoY4XSaQK
aUc5bF7uvK2V5RguhL3M7lyUmHCzmRvHji+rxl00EY/iuXbBK1iwxIvBr+0ZWMyEhGblxH5hRHat
O0/faGXE8Tz1lPhhVDVXaIZSUi6VKSpxxQzXc88SykvOAidpdd53pxqajhX+PPN8Hs9dXff5QhY6
UYsusuLuFGkdZw4jXaQc3rIuWhYqV4YDsJIvRhb3eAYtwMN4Bv8h4zoKkKHhkSfJlyCOZbyihSyj
eeiX1se+KildBEZK8Lnf+JonNveJXy7dos6SW9iM6Vng9SRcVBloME/LyOvnECf10hFBlzWXsehg
ahuwVIqZi3F1VlDGopnnUq+a8aQGOBXX4J8kfUD7TRRC8mYmQIF4RrvYz1cYKfPUUzy0HBKGOZ2p
VLmzvnJDZhtNkcmbwG0C06EqD3o7zoLeOEduZC5w5noQVvmSZ3Pc+X268hVuvHkoTb+xh8/ZWCqZ
wPTxaO60jTJ6G4Iw4+8CbrDqDFvBOiJXuE9Ur2xRmwa966KGVFdWJrt0lsi8vGRVAluSp3kIAjKm
8LRc5ePkW4+jxD/LuziCmKlhvTrHpVfemQFha9a6sWsLDJN3USUtp3Nt9QqUr3AQzyKah9oRjTtX
WOXfoqYBzyLwgvpWM6v5nhU+Pa1547lzETJE7ES4MA6L0qBdJEWNr/o2o+YHXTJ8h0sDPtFYhhZO
iTvezmsSB+q0aAlpVgn3NLlWBpefE5QPkzMIcr3kkfb1TduZpXBQ3gA2fpOAYqkGo3sOO5j8TAWC
2R2DlSxmcNK/TVelli65CYoqDD8SkUhz1ZpBU12WbTk4n37X3rDQsNp52sTw1Wna97Xdkrjslyjk
w48fVG/APoFeWYyvTJbAr6hyBo/KD9Owd2RYw9LJIi9UH5KCw5IvKvAKPHgPbCopE/86x2ZXJDbN
fARwN0VbXcaGn2lboSpvFy3iiM67OieD0YDF5MAvAgPSSjz4yWUSf3bhBqozUSslbOGzEOZF51nr
JqGgRlsE3Udatkife+DmBudploTBrYDdYqkThK9y6eXf4JiWldu+6StylgpPVueun3r1rCt43oCD
29FlRuCxOojn3X0YheymrTRKT3PU1eGXxoo9fRq7Rvyj6+VgQ1Qe+TOIAwSdK9L5epFZsfwCBEC8
iJvMy21ugpnrisb/qNJSn8s4DNiMkYJ4YPbgdjy79on8XARG7c0jksAy6Q2XypWZpDjfxGCQuzOg
TGBtNIPFngfMgCfa1n09h02myc9xURHLcWVU1rDT0hqB650HfxeylndGB276WS/LAj+UOum0HQMv
U69UQ2CoNsZ+75iNZ3mrDGBpHCOU1qJP67q8bDse3Qa1zm3B9akZtzU77RsLwAkR1v0yi8I0vUys
1rwwSmSmcz9P4vrc65rMdwTTsX8Hnoh+QDIBMwKmU9d26APPYsumFjnsAl1+G3k5Vl9x2lNR2z14
YN2nrKSGhMG0W8x9boTemeFmzXffQ0btRFxb4UpJhD+02nD7ZVHlWs1VX8EkVaQM6E0bRj27iq0s
iuw8q5F1aWLfbJ0OvBs9b/wMUGtEooBX6XkMtkPraI5b2hazOiKiWPYih9kfmq3HZ53bIe24mbby
Lw3r8F3gFzDXYKeTn2Gux/omkQkGA0syGSxE7FuN3VbfiKgage0wrPknRpK8mTXMK81L041E/TF3
tSxgc4cZPc8UBTQhcOjaC0XLML3gRebTG9KiyFq5bSrhd7Wt4V2GhZE1s1i7YDPAG6vKyyhyQf9C
hsCN+CL0Z02L0KrLTVj3nWVxZZuuzy8fvdJn4vPmycl/4u1echkvqY0pHMmlui9Snf4oxyTJ1kD/
jzMpOzQsQ0Mrwj9e8jVbNKzz4pbUlzTMQOE+yf4kVYar5ocaRCoxhrNmQwD1i1SBNtKQZAECAS5E
5FAN8YtUoXBLIoKDaRIuyuXAuwzp8Z+kCjSnxgLoHmINCTYOPU1/armFKbDQz39/ycVCLDcKkICL
haASusBA7A9/BmbnZeghY97LpGb1dVQrcH+dIk/RWdRi8yzpIVpwAiv+1AUesXlrXIgEoreAxbXd
BNbMTwxk4zK4a73yPBTtbY3ai87FgZ35lrRhZYCJUz14juXnJu6ueExXTFk2jdzUzoW+ztr2zMoq
y2njfKX6qLFjrcEH9KTtctkuC0p/UOGVTvNICaqwc2AZkXkRGrndC3NRBYFwzAg8aqn9b53l+raO
zG4uyy6eoSK7M62qss3KIA5wFA7NeuR0TWmbXl47ReJ+iSSelcTqnELrGVPNd6sK7cDN4xlcyHGf
B1w5taW+WrBL2cCtrGgrYMtS3AZf7KvlmUvBs95xG7rwRWHYVMenxKrZrE7FqW6Bxu7MugAXpv3e
pe73uGyvUernNgN+SiGpnNgMl2HYrgQE2QvcNgUwLUZqCy978JDJZi1OvmYpC2zq13TmVuXGckl/
pcNurTLmnldMQTDISGz7njU3EoE/Es2LmQmhhKOGTSfVrVw2TXiOWV5/E7IuqF1BRmABIa3Tm1zN
TZeni6ijyIkgspgL30e2J/vUrkiiLzsk2lkILNBCpCqbuZHROSXMZrvQoT83FIQ7HVLuPEFanSuU
Rkshm/KWsLr/3PS1P0sRuAihjtBlZ8V80Tdh+C0tanKmOLe+1jqOP+oC5ze+RdRK4KK9yKVLZ3UX
pWewhReVbZhmcOE2STZ4sO1FVfQRsfsYud9boQwBJtfIVwlBH8JU4rnvN9kn1MGDX7rA2/1tBNL7
YYqomscD7d2UXTUPgQnvYgLM4ECO1wNNrgvwDYE3L7sennozz4FP18CrgxsvHSOvroqBcncH8p2j
urWrgZDnAzVvAkdvDmR9HiNgOQb6Hnh8CH08Oxyo/WQg+a2B7u/NEM/SIQXAh2RA+pgXIOqWPyUK
IGWQDsmDcEgjSAigVha07rT9IclgCEg3aMg7tEMCAvzrWTukJA5i8v/3GXP2W2M+dHfdNeKDzEsj
DoTl0EEabjA2h6rDl0acwKV6yIQLerg53F/8M6EmTiSkXAVn4BNiBIvtv0ZcnFC4k80SVEjgY6F7
5puMuICDbNlLlg4GAGoewkVI3xEBbOi2ES+LJkgiErTXWekadibKGXeLO2BqfCcgXTnrcZLeqRpH
1wSi/1tducWpgXB1WvUudnDVwoJP3dLOTXpFYb+aQ+AHjhQPNrS3aqeEjgfnfl5/h5g6u0u7VM/D
PGpvpOdlThwn3JGVm96Zur4sUMVtiE1mtfLT69jLc7uBcOIj9niyrOCo/dyrXTzTGH+CCDg6jSJa
LQMJzjirVrQTd15eFQsIWggsmUxdR6qNHdOSfxvIak5lIz4nPVGfcrNJL33SJYuylxV4s0nrYHgE
1woLFwKMUp7macquvYZYQFPL+LTJuJxFHpWnWdKXtufxr6nOGkgRBpEN2cyLKu+WoTS+NXA9pl2m
lSPB7jrMz86Az5qH3ENz4tVn4J2dg3X/DE/zMk3dzEZlWtqpVcV2Evp/s9pctxYwIGmTfvHy8EvB
kmie+R4Qbp66LU0dwf5nwCaYYO5Ynnca9nV+aljxhnp+ZLeJdWYVRNlln8CuxoJgURrMW/hug+yE
9d8A6AA4hOw2NdwrM+q+i16dUjfK4JfQB7fTN4ZO6guwcIVdlD0CQyauKIQwdu/2VywFSMusneVd
cxPG9DuhxRcwyffgehd26vtnYdReW5BbsXmGSxt7SEN8T1ZD93Unqlo9azx5zYQoHRKbp5a2LtI2
FvOUU9dm2P+Wef0H6Ah8HuRA6BkthPfAvYAz4KatY4k8FNe0QwH9DuEZ61a81OGc+9654Zp9DLRm
4c0iVmjb52xj6HChKmECYdstrN7NbVcG7BLV0VkdqMLmLAlsEuMLyIAHdlRDxtFF2J95TKhlx8K5
yLGwtdGTjwVjtVOLInFML7zPSWbana+6uYphN0gDuYCUUWADRwYPWWl3ZXQQlXosxE4DC9xBMFOp
l32MkqSFmQ1RtZDazoC4uUt8V9uuaZ7iNGntggGzCq5ePCNuA9srgii4czddR05hp2KrkLG7onT/
JklSOjykDlw4c2VqFq0ak1l23FQQ1EE8AESpec1LyEq3oiidDCtr0RbmbQ2hmOOW7AKpJnNk0kkH
GeysiCp1hrv0PDcjvMpTBSiV0onoVw10m9F4i6bn7cJs1LLMCxU6Mi6Wugsz2+v8mcij737EYIPP
YKnDMsky3sKDjf/OfH3W8iZbhQYXs0hhfA276+CIGP7HQOXeWWKK0K6Ee1Xn4LcE0pqTDiKZKKlh
ntdxYrtZ+6EDTg+IwSwEJqYX4FcQ9xTlpTkXOjWXnedKSATkepXlybnnIw4hU0XPtOX1Z3kAuXwz
zdE8zTPI8cli0YfdmYG8r5kRQ/gUqNYB6xeuDGVKxw+zM4M2jtcCMWMF2becB94PncQz6cMy/sCD
YNMHfQm7sqRlYf///fMpoIG00OvB0F9RppLN7g6KQOrnDgrVRXBck0J56NCqEEpPXuygcD0Dh4Qz
Y08Z5K0wSAJXB50NKVgUSPzCvvYzDIIdlMBtHXAvNfQmhoKVt+WWdzIw0DwPZjYoCGcKTMgkjnZQ
r+BNEFARXRs4/+apEiiiKvqOO7aKMMziwALvq6jmnMU2qsGLpd6F7PKrRsRAqzUQvsQqj+3KM5yC
V2ThMbRAKb1tVE3mgsNuUnvdBSrdmWWkwLXi8rMSJHMiHF34LI+c2ihOo1CvY6v17AqbDy5R2oEp
7oEZas9bUT+EFc4dEUJ9BxT3zK2uZjbukn6OKiOaFTFrZ8BGgFWpYEM0O2Q5ZZp0iyTtbkjH2Ix4
0XnVMmoDH/GVQm5pBjTRQ4qsM4gOs1neJmANah3asUdt5kMqLuHyppf4S+32HhSPqBByT0ZjR7yE
v1qBcnovI3Yce67N3RX1ykXHU9fOgaixSdN+7n3vsuTJeeZm5z78JjvtwGrHhHxsVDirPS+ehwm5
dDG5c7uohPIW2ETBxYHEsq4hdxUawjZNehrTTjmuyL4IVhiOhcA6eA6rc+XdliTI/gZ29HPXm815
OcSUtNTLCDeQAsmLv1sPKLAkXMZZY0EcyFLbbMCoVtQltu+KS98jn2muISRSzbUB+fN5GFb9jLDe
m/cS2EevkMbSSKuP1PAfGASuS2BiwWMKw/PUWpf/l70za44U16L1X7l/gBMggYDHy5CTM9NOD+Wq
eiFcVTZCDAJJiOHX30X1OT2d0zei3/uxozrtTCdo773WtzbzG0Tond+zN71QuR+Vu29GXeaqn1r5
KfZ499S4TV+/V+X6Y5r540pdUDdjL8OkVjyK3pQnrgWu76NrOvcwGyLviSrie78t9GmJi9SPAexM
ITsYtYjE5W6Vcj9erlSsEH4q2U57eFivUzdlYdXyC53lO3QtcnBlGQ+JYhFf/znn/i3cgJn463MO
HuWo3/7HObdFVH5D70Jkzj0AKvDGwcz97pxDpAW5NMwDeNznT4ju10khxvNNwN0g0BQHSDT/Xu7Z
hgjKwOxB6vz7cs92Yv5pUghdD3MMML5tr+S2MvT3cs8McQX6f+Hf12sfLseVSTSBllNT3ENbpm17
ceBlHqIibFJn5E+LX/pJDVor6wh6E69gVQKrv87H2PiZDlr34E61yKKZqnS08s1b1jKFLPG2DnrO
WgoWRGl212AUSIdCPIgBgmpZmLxvtZ/YCKJutKzuoYqZznDEFfA9a+hLTmtzrkyTcWbuxq6PEy+s
Xq3HbhXt9qxpVSrnrLPrvhpwWlu3dZNayNtaTp8kk0eNriqpGgm/yjhlGkNmTiq1vsVC3RgbXDyi
GqNB3JAH4prmMvqr3MHJ6dC4NRIm6vBBi/JtFDhRWyfMzfI+zSTIYCTn1qHoUtvuMhP/te/KPtHR
1B98tBmpoujL6t7jCZU4vtYoVqln5zu6ViInan1Hr7Qbpb3z4mnvoSdDfn6vqc4VvF4iPAxbOC5S
Zem7ieHsT8WaxG5CVnrulvWwBnCAx7IAbBea1LbVczQ2HRDC/tACwpmleG5iJzOmu/XKvePOmEI6
hgERtDeLr3RsfUAjc6W6vXG8aBex/uQF7bdO8yYF+nN2bXyGHYg+uSkwiqCUq5s3u33xVaimJLmm
suxuzmqWft963ZKUbu1+BjwYy4TZ+jsJ6G7maoJGP36HKLcLSVymU4R/rsbpffA9nQpIUklr54NZ
+NXviih3pnnZDYZ/TA5TKDXLF+bGz2adb571vgIaObly/VJZEacs0DQPS/9HRebT5JbL14YPNZiG
HpgG7dLIAhEI3OEgAnWDV3IIVeScAS88LxU+FojPAcNfdF/MGigpXz981MaRmxqiHItzwxb3sIYf
npA+nD/zyRrYPm3vk6yBDVmXGFUDpwJVAD6j9wIUXqtSR/LvZT2smJCWdRdNok/FUu6Jo79UkzxI
3DZpF2E+gA2b9KFec1Oi3HqwOObJL1Johw9L4XxWxoUgSr1MEPESFLyEiUvCRBdLgrsZ9R1NQlhj
bjTy1AVoqjks5nGIgoSz+kNzc9+3/pvVxZk1q0jqRVyB99z1UA8TJuO7Dn54Qii1qYA0qHjFE2Hs
tB9meB2GUy8hMTbh1tGXNZR52wRHV5dfaE37p9VhmOd4BBKEBC+hw59m4iRuPH0euF8dex4f13m4
K8qovyuk/szmYg+C6slh7MhpdO/E+sZd9t7767Vt1aGWuDZXBrWt97oxA07yaK3c13DgyrHaK8Hj
vJ7jLsHdw75qq4+ciPGxiCwHAdLs2nm6Y9v0+E8L/7OFD/6/LfwvSaj/Lm3bq35X2lDVoGgxilb8
J+j5qwhG8YQ1tPYb6klQ9lAQ/4OHYsl8gO1LEVajgm/C00J+a+FjrEzFw50grP2nVv4NJwP6+59L
Gwg1rObE78IDtWGo/Km0dQ2WgTV4G/c25rXOBKUvaMMPouscoNtl7hkfTLFjl6SwI+67xUskakDu
2fhkcPOnPaXerhTLc+TIYT+KFsKQVzUQd9pcjP33ksyQhlYz4tJmTI5ORp3xk45W/xHEzLRnihVn
7i/sKOYwYwOhaR9adQFdNyZBSfhuDr1vptAfLpT8Qz91V4Ujv0qZxHVczePj4s230Ap2G/q2Sct6
ijK3gQ6kItYmTdyppBzjPllilMMW7yqa650oR+fgibDIRQtjIhqrH15H5jHTtoCM1AkLlaYok7Jf
cY9TYAB10Xn3BREQF0ZQq4bH3SH0Gi/p8evXqukShSYCvwXd+krjKFEUNm5Mp0sTFvdC8tPcEbSj
7YAfT94MUIk7VkIKkwYziS3Eowx0WjN5Zx3XRwdKRVq1kNdWDpJLjSqPxoGnirMidyPnpV/1E9Cj
A3CB6BgM64Oa6iWD2PlKh/C7VPI6wEUDHc9PcMYeAlM8lxbSzwS7xNbxh+rRPY/xBQeiBvvuMEiB
fgjfWn4WU3NiXfVlFkanS+x8zGXE09HEO+QDvgZd/N53IegWYAKp6EyUdAx/FtvQHo5Lyc9VhXpb
Y6CBYiMfokV8qt0QBFsL7rHpALY6cDvyVnZwurR+ZVZ/idicSp/IvC6rEcNWxVF0hk+SxvWudZsA
ig4rMyBizxJffdMQS9PKYiroVlR/1jgyBc310OsGoyam0lyt43e/N58tr3+0ZefvCur96Ita7PjM
zanDKFM4oHjLLrQ7NtMiResFwAaX63503SpxC7+FCeUNQdb79OiMcbwvo1akNJK4EWT0scDN82v9
jfYTKDBQZrkndJ2NTH/AdmF4t0ub4t7vU6AWza5aw4TxIgZ/EMfpUOEegYENkkryFXjRkFJQbMD8
7L60LAbuOd9TWxxI0D3wubtndXR0nApe+hEOWTFdYvxM7ZunfphMypYQyiR7DeP2vu6GJpmoWLJC
zPva80DCVO+6M5/DhruZnCHhSNHHuQ7RZ8nYxIg7dDtZ9xdCxr122hddjsd6KM+m7duDR3QKeOOB
NPbgj1OdhBMqjJrn+7Yh6wk4zReuq2vAEC5h7hQeoWKeSdxe0V7sG4caQAQLSWVdrwljpspK7kWp
U3rVcRTVmYzV2Wv7L40H6Dya9Jgwr3jxw+B1VPqetLW/B0MTZ7PwGJRl+HuqMwusu7BOnNHsSx9S
Q8zWOXWW9nFixeta4P0N/ahhpFIcPXhdCZYpKdEY96I+Fqt6H0Do5GSFAjzEmPpKuaZ8YXUS48+a
WsNfSUFvZqJlQqtxya3QflZbxQ714H4gAXjnV9W5AlWazE1LcVkPmdtWX1ZGn4sC37sqZAgqp3HQ
X3uPQRR/8QrRJiXtbsSZJ2Ruog8Wj3uzOksygIPKibY3xcd90ZFnyzUUW6eEnhydQIBDxA3bWzN0
2RxWzolPzUsVmC5zDbzgJcpt2Szgv0iQiqFpUtZNdd74s8xWl1/WbnKQKkHj76jmo1yL56GHWrF4
pMaH4/1+5uKH6qH7Sw8ZkmhaMz8kJO3A8t9NpbMeTNTvwiksk3VYbyC/ptyxBh17XD7NtMpH4hxi
yBVx3FqM9eqEWY6jCnAQiEO77OnExrRhMtgV7fK5Ve7OlO4bJp1qPxM+ghezV1gBL7A/z2ih8FIC
g9X6OyXKHLbBXdWrg9CFOay4iNJpxTgV+O5+Cb3vq9dfghJn9hxD3hEcNqJ6N6ICvDW8rXOZhxXu
Tr1A3aHeFxl1WVFDfMVIlxe1ewgNTlNoMP42+rs4jygqRVg1URbUXQOAKnzux+qy+sF7bXBQVpTJ
3DYhOMZlht1QXTw6qWTW8b2KVzSv/vSpwXWbRI0vcKMoDj7Wgbitbiqw6CfDVe6hxbyhdqpcVhxG
LWJUOcQpdh9FTrR3sFp5r7T6XNXeU9CNTSrX+MULzRdRc2BjWzOpMZxBUeo9nCDebiXRN1pEcP6h
8+L9fVNikEDr5A9drE0SYz7KOk7XK4CvICv64QE17zL5+DfASHcmBtZt0I/T3pF53I4/CgaNG4TX
D8q7eyFiID5OUafGFhevZ0ADoH/vYhnbrJyNDyZ6hE9icIIVUXDloYu7DNpnApsbbm15wPTH8xDn
pAODZHK6p0WufF854msd9t8xm6WUt+2+KOo9+gh8B4V98oLeSwc7hKfVCY+94SjFnV+DcPLDtEJg
LWWOp+/j1c/Kpf2o3VqmUTvdz2HRwLwozy6t2jQ2/UfkdGWOCN+XSTpe7gxtgJ/E3moeBElfOp8R
BihuKuouOM3BAV58y/e88gMHYwmPIDDV8XCVTSM5S1TlllDxqsFCQPTigZ//6aN/kcLRwP61RPR/
27cfUv13H+3iVb/20T/1bp8EEbrpCM+c/p1EhH0YJPQZdJk/hTOjf+GZXC6W4vwC/fw+ZYVniHjY
hQjz+ReOKPw7XjKk+D+30RsO5CLeEnpo59Ht/1Ehkn2w1sFS6Hu3oc+11E9EB3etr2/13KPnsj4/
lS46IM8/iGURWVvXxa6wbErNPBaJO/RDEi7TmAHefXT9FdWoD71k8g1L9OrdjDsgohPjZ3U4IPNG
9N4xLhUBNNQ8qRB93drJKPHkfHEGVyZth2kaJImTOnNQZKEJRd5sJ5Ey03B1u/Y5ZGFwCe3anQUh
mxcLsKMs0AKRJtz7GsHKyMopZRy33qq6Z95FSF06LU4GpY9Dj8M8MmWuaxC+od++IwfyCQy9s026
B0mdJ2etcT4N+rJuuOwalN+QkRPJEIwAh+SUd+oovLNX0h+Wvymamrg8wBsus8mOyMSsI87PpW6y
rpnrjKy6z/tFvE0rnAB0MD9GM508Ay86dvGBlC2OWkUPixOi0+9yZz2PxjvNfvQ1EOwoXeEn8RK4
WRwGZ1Wqh6qd58S3Efrv2buvmWogyoy5F7n4SmioE1OW+hgq34WQ0D6ScvJvscO/z6S76S4CGNtQ
iD8e93ZkkCTRofVw+MLt6Atp8qZWApVm8hLlRmdS8eMyVn4SKJ6JqHucaw1Veh29fKCI8qA/WqDh
I2MBWmLIy8HYp9K4NC28+LV0pEhAEe0HV5x0HT778frmOWW3b5c6MeiBheVxJgmvkx5sfdL7/WFy
LYHgMZyoh8+yqmEfU/SudeF17kPvm+4pKgb8YlSqvpb3q6++VzDfj8Q6D7jA32JZyQTltzvx2vus
BjAKyAZkTuQj7DbR93ka3224LDttZrRQOioOwPW/tbhFE4m3ktbI8u6qaXwKSKnv2siF+yy+9Gt8
tw4eJkrJ93JyzsOyQAh0o60lKDBa1sWUgCq7GrHi9rHPvCy+DTyMDh0FHiCc9qlYKQd8Pb4ONESP
aspDFMgTsrIYOcFK7SLdHVkZvCju8pM1HUMDtj7hZ07nAcQeeGkpISQxlf5k461CyMGLty9vpkvq
soJlXuG/ailUaleAcFp33UmTcU5nJwwTvlRD0ujGpOus5efSLcpDx7l6ECyI0XYP2dwt3i4a208R
gZxUGkywVniJJrLCF9R3edGIEWh0XeFuN+SoK7Q8UjCeKTIe3TVyj0PEj6FXNHu0wn4yMAopa7tL
IyC1Wpg1kUN38A30OodlQgLNEMIggd04GLUD36RA5+dk8XmYxaXOjI/GDsB85vjBgwAoKLV98WZx
F6jxJOlyjX31ZEM7Yh5r9xzFPulaaKhd7V3tPL5UMuiSZuEPrT/eamjFUT1fdLt+1gUUsRrRzaSV
4hPiTSd/dg+L1s8mYm4yjJ2buFJSSMbzudZDHrpK7tol0glR86VQ9FZ3S5PPk5eHpD+RceySRY/Q
F4uvVendI0N2ReTtAVAhbDyrvxVFAIysXj83HAaUP0RRDr7/q25DDHQLGgxDANtw/252+q1Tw1WD
jONSf6KjCA6Vzzq6h8RPci6Rzgkqmf1Twn+WcB+mzF+X8N9WT/13Gd9e+bsyvulgDPIW+8WY+Y0J
w/MENrfaj2Bce8FmJv/GhKG0BnjWEyxvEC7bP/3H0Q6RvgZEFv97MRpjf6uO0y3Z+AcmDKlrKHKQ
w/BYIhe57T/WcSdyaK3mRt6PGAbXiyB9IK5Y/CBIbkzbPITo/eBtNME1QB+NBvG7X/IpV6R9BiiG
28BrzwNRX5pFnhrdPVZtlRmHyISK4gJA+dLPSHV24bQvqS1h8tRn7k6vq+je40oDgLIESS6oQLeg
XHdeiyGCo08fC44aCEEMGoG4mNFJZmyZyRS1nfeNOCKZkcVrdlNpI++I3WKqOpGamRLTv+MjZmhj
jExtTxHFKxwXOg0wsWNYhe1+COMTa6DGPdPCwBot2kmMWRyX3D8rUekvYiq6bLS0JTs7WiwYMKO4
CzUkn7SJIR7lSDI7WawjJQ41xJQ1H1TpDnkbbMsZmmn+NjKk5Kamew2Bq6WGT/vIxmrfV+wNtRLN
yTTMNxE1046O8lIV7pASjbmi51U+rIWbcIx2srAvxC0+OWo9mtB5tGGbdnY6+kuXWcec5ym4jy1b
kqhnSI6Qx0VXbxho7hDBdKCxjZcx7HAIOv0h4ugRVOw92tE5Igabd8VwBTz8AawraZ3p4FXmhCjL
oSyGMzZWXFsyX0H/fnMX/Rjz5kAEe6kx/fAgPBReec+41cnQ9E9NvyZhV2VN7+6nQD8qE2V0no6C
+a9tyCD8o7JG+tQgXYRxBVC2iD86T+Z+w650GvNJRnsfbLQn9aWo9EMM5FnpNQvHKOsxvnQhv66y
vUcUGJgbJjrtg5gmgNHkxRKRQAq54rtMezHtkJG/ikJeNUXNpcFuNOYkArHvmfuVBIhjVOYC3/9b
KSORb199GcbPvkJWvfX20OPOntUmGWP3OhIEDgdxVYzcgMCl0CxeAk6PDSBhRFxlBqbrqEGNRfD+
42J4j32d2q55DQV/kS5/NNzZFX1wxsNGdmRsr64A6MQW7zz58zeLNwEoy8vqzjsXFoJS6EHmNOcy
9HZONd+BADhiWQnEoUW9q5A82nh+VAv4uKK0wS0M1L5iE7/CoL0soLrvVeOKY4t8L0wPIqmHfA3+
XsE83LssOE8eLqkRIa/Gaicd2NRnvY5/LOV8dec281t6DqvyNg+GZXOPxSNNE2Z0GL4aseDyowzT
bbGfB7vsHFp8XVVzmeKZI94yPsN5zKlDURN9o3MiEb7zanhWtMXY6nA1p711upxw7wL67dFXFWww
v0X5nvGNw6l7EL2z1z5SulZIaLs1Gngdit0wexcjxn1dAOKALehCJ8txdeDb2vqCeNQPA4Jqaefr
O0JXBTFLwz6u7v2iPtPB2UOmyFs2XHsCTHIa2u+93+LLWJ2MTHrKRAGPrTLsFjTRUSIolCkpKBoA
tALFOqOhEGMqXRKnhAMbFFV/bitg1rVx0pbIzwYLB5KFtDZ12vU6evQy19UPRgekoyNyKPoOEm7F
Mb4I+8g68snE7ARE8xA5YwOOvutTwHmXIPaWxPo4AVqnAaqHdQQZGYoxmap+2IlxOcvBmxJGq3vk
KV8sQwyC8/m5ZAGud+jknQODN6rvC0RmUz60ULiUeInB1KVxxeMEc/10XiVt7njA6vSf2v+z9rso
uH9d+xOcHP8LZMOLfi37GNGxBwlrMbaADkGV/q3sE/wThmY8cyIEskFQcX9zwTC4I18T/xb1+U/Z
3x5D83MhUhBQPIU99v9W2cdOlT+V/W0xBYMWjw194Gy39/d7wMP2s0bQmdN7PfsuGnt7nBZ/yDzY
YXBihp2kBH6SWV5DMAWZLv3vcHfOBn1lFmxZRjFjfY9RENMmCRjW7QCEuCqJ1n7MZm2vswKn4cdK
plKO35a4+8KrMkfA9rH2xb5bzIlQ8jj0mO/FsABh7omGdUPOXYuocOmEL7qOJQpuCw10Kl4QMnoN
EKHGrAXdm83tfVDSe29ieTzIU9gMYGZXelxtAb6kJlFq+bzHupWcRP0H9js9jlMZnLqy2GMP0Leo
QjXR66cZG6GSmrQkoYgrJwzVJKN9kbozULyw558mb/xaz9YHMcoPZJRd0iM3k7QchdNg1kqrnl7r
djg1NY6DSamPwXIvmR2JaamJ7qtWQZUoh3sR2P40twbRwAoTf9jKGulHBeLELYurZtLNMG6uLBn8
9SMitr5aP/y+Vvjj9kXLbwTBw4Rr9c6NG1+EbI5B7GAAIP2y552O7jUI+DwMJ3xrI4ebVpoyreF+
I4zc8QTjGNsjX1QmTCG36c9heXNL6u3XXpTJUMKaabtN+p8mEBgthYC4NOJA6dwgvFORveDbApEV
6zDYjLgqRhykXkHoe/MCls3X1c4H/QF0mDa5ag3ZG0nbvKPijD1Qd6sRMGm8o1nKNava6KNY0ZiJ
sPVzR1c0W8ZF5F4RAq0fyyZ3BY/wh/AWtFpDvDcCGRkxq3EfwzIAeKiwEQRx60fwbtF+7AOeI1gh
IGcXRWbhyiWaUufW4LkQSbvikw4zY0nFXLaLShyXYpmiZJFlnzsIcSOVWVenAOPyHt7r80L0wzi6
Xc6daEEb1X+TDdJmFWdYHDDE/qmPMYaV3rb4Zt3+RBXpvk46EC8dEuuJ3lzSZfNLyVzC/Ns81ACx
rYRvvmqFvzvOZ2c8RBP6Dz75EMBCWLH15sm6mztry9Y5uEbsxqDJi6LDhI3satJuri71aZtAkICE
LuD5qs39ZZsPvMKRFfP4yKa2zvVPs7ghzRU7L8wBsegP063fjGf5zvTeCIe4UZcKEdeUzixr1MCO
bJkAgzih3UdF5z8SGNZVLI0Dv2WzsflPS7uCuT3hXYWrgxrJEYjQER/2TrU8e87kAegpWYrO+9Rt
fvm0OecxLHTQcgtoFih82DeQV5vP7vgguWC8W4z2KRatPbeDOIWie5hCnTpOeNHB1yIkd6Nk9jMk
sfeJoeH1HSfpAEJm0TRO5xH7DQ5xbAR4LTCnZe2eCX4bh8Bvrf+BCAFJvbW5uBNMahuHn9YIsn8l
QJYb3f7QIVa8YAPEUYrlhv1XZ8BoWD+y5ee6NgJhUnmIvFuOcN0i58QihoYNTe2x0+BxQ432clnw
FXpDez865VMzF19dOX7pfRwPcEBtFtbqrpq8t7lmDKIhxfYQLcudN3pY9kaxAsdXm8kGLXH14Noj
FAM87HVkkOxCx3+I5zACeBB2RwxR+D+NK6ACNDbtjbwbhXtAcrhLrV/shCuH+wpZxkRgOwTCFHFm
ZvWuYWokga0yLO9gX7BfrQ1yZA8uHTHfpR8euzH4jMBwcET3mwi1fsOaEyzzkPMBH7rZcYK4ZOut
WcPCKxc4ZWLpQMPArBYD4bfSOzgDOyzTAAqpQtNTTbctH9MQDRWvar6ZKD6EHb16Zb93/GFfYokH
vtN0bjz8d/DGo6pKdTV+6Cp8wFYgA+NrOZqNPBs3qtCvb1i84KAWwEqjyx03za0FtOZV/LkBxMYZ
cISNahuBtzWVSZF6V0lX6DBpgcAVWCxTNWnkYsbUQOSgcL8XI0g01DFn2euI6AiaKLzPknWPbqXU
P4jQv+lXQPl/3Rthg9ybfVdv+r9lkY3m/7U/gruxLRDFqkgE3H7miX+lhPC41DiAgRF7DEbGH2WR
wMWLXGxpwpKpn+zOf/qj8F+ADOFtIDawbZ5z/6Yssskef5RFQNLiKcwMyy4hw4Rb//S7zV1dGaGQ
2Ejeu25THkCi7nkJUBPc5t0Y2gULEok+zyORe+quENjm8aETAIdo135TwDoy7egDBMQgj6la0nJi
NBE+H1IU5xWy7kQybiL4pANbM3CN7cNQxq88wCCD6C1NZ3e9w6qQswr8QyRjlFyH74elfy2iUoLc
iC6rWoCIy9oexsacylYMmMGC0xpVMN398MKID7AJuVVTRbd4CuusUxVsFfUGdgsAZFB+sm3QY9CA
a429Jjat7XphXfg6F1hpgqj657iRr2y2d3GNwTVsnp2gvRgwrCm2V7x0ClOl42ELUTHdhYCbuk7s
vNL5QhC1KYdyBwcnRBqiP/eh/AwU6wrTE+JOMO/tDHUVFwWYIOii3dwAGQxNXrGVJ9ja2WRUzQxr
eoYlj6JuzK3daCyBORdwLbYi0YPkGOogyV+nBhpuuU7eHmHpnWADnAaLPF7tdalD1gdasO/E9M/1
uOywgqFNaNk9zD7bLbw9VthoAs5AP7AxfOFDUea9v3xmFYIJ1RT0Gbp4GLAdXF1aLRpoc4iWd72p
uQt3Hm9Os9e883Wb0w15YRxKAnSYApxWfC9sSK5NER7mqHwarj4/Mtg72H51xxbE5fF0kl0VWuQM
BmyrMCv0CGostldEnzlDtzMOHUkaWe2RKumSupXf65DJTBiw/WTwdk2EXRQuGmqzHKoFiba2Fd+U
ou8QFd/RkZeHcvCv2x6P2Q4ldq9ZsGlL43+iQY2VRUuEslNUWF8wnCBbHZvAw3IcvlNRCW8Ae5Py
ZZ5JSkq27KOfKYQuGE0+WedW9dOPeK0nlQYuVqC6MFrWwddJCOvFdwaSDjBjYrYJ/KTA9BshEYbH
NxzI5t9INb9ho88zAuCZ1W3ubutWceniOopfJQXixDcnCK3fkFdxOSNPOWKdK7ZWoJTDOwL0jIx7
0DzGkBIZgJUN5zh2MYOMor2k3TyophS4L0IEuSN4hju6eVXYaODunM2/crEa5G4h3a2AtUU3j8vA
7EKMzoXASNWxBxCecDNh9ckKy8KHyVK66z1CothktTlo2NH6UMBS463rZv3msjHYbU3HvhrYb1re
Kt+H2AZnLora4jgzeZ0LrCywcO9iIn8g2Qn7CL5e67d9Htbgp5zZqbN+s/+mYDM9h6DM+Ors4c6I
9SvZ/EJ1FuKo4SFWclgAyOMysG3xtmxGI1mGS7FZjx08yLn3D+BQHPSq/JNT1u/1iFsGVBqubTiY
Oh6O7WZpxlg0twk9z9j39hFvvmc547qjmxUqwQ/4WHOXOD18FlsO3dkhc3DxYKI6IPSus8X+pGhz
WMN4LbJ5c13HogCRpuDE8slerKoRqdxc2iaunrjC1Rz4pXdUDYAVv8A3jq1K2E24rDeEYxngIEDF
urVr2sMOpoMa0eHjxuLrUCTO5hpjK2yxs4sRmRyMf8DyAYxlyKECqUROZ7i1Pr1rYEO7hftcbC6H
R+wJeAbJ6brOVaKlUgKrJDz1uf6p4rKfiq6Gtjv+ovL+VHyrTfwdNhk4+qkI/6OX/KKXQD/4654g
e2/+zxXLIv6XZoIX/toT0H8B10V1BzSMFSMR8OBfewI8phdrF+B8/CfG96tmAjXFdRGYYdvaRpdQ
vOrfPYHv/QurrRCNhfxCsT/l7+2jDv7UEfiI/EGcwcZsrKL28RzZP3YEphiFbtaOPHRokd26Oodl
nVK7/NI2Ys3NX6xa+Zmt+a31wCchSNIB0kADhJ2h2Cv4x1+EbYL1/2PvvHYjt9at+yrnBbjBsJhu
i6wslUo53BCSWmLOYZF8+n9Q3m13ezvAwH8uDrAN+8LolkqqsML85hyTG2MqzyaC3R7jmCPW5twf
ckYrLKohJkBpcw7uyit36i/qtLq39QbWFpNpT8LkW6eNlh6HxnR96BOANacuXilmtUQQmyfZVqTx
nYhsyCJ1RG12W/GAnl5l51LFxaQh6K+cWq99BwaVZ3BL5xrtHGuy/i4ij1eAe/Jd00IeSItNYA0b
KLyd3xMC9Nt05K4nHhXHvnRF7674NZ8ikZUem/4ti86Nko8nRTFPXQwUVpVcHWDR7qFTnWSQh9A3
tHvSAdlKDYfB15fsQT9010CuNlL0j67TfOih/RLm03OzbL0pUw4faOTZbIKjBcBpw2BtZ7kByeWo
4RVqmvvSCnexI0Ivi6Ij0tpbIaN0M+RqBT2A0GBWjpWv9Mt9ncVvo3Xzi5aj7M4iuRIOSJMJP65C
oLm20pfe1u6bNrwkz96vSm26set+C4dnx26rIApBHpTCYLgAPNSLdPNWmarMy7va8Wz3xe3Y9YzR
x9kMVqQX6Yo3hO+Q7OL1S7bsd58Og5wVuv2lMvQkKwo0qZp8kmZPJ50pyjgRiJJIv5tUy87QxpIN
/sTtnIvLMMTA3Wli6w48t5FMOVdZ5uBXtfsCvGeHeneDBxnT9Nw+xBauhBDy1MrosttW9nvNTAcm
bOq7Csx9FcrpIYtjEy7kfKUDHEDbSAYgWc03LdO/6TIjdzRquzJz9/iONEJIcot4d52DER3t0rqw
jbnAqVy8z0n1FNlt5OVWeUf8J/FFbac72RtbFCtPN4INd3MYWLzFsDoIGa21Mapfi6QMCXI7Sjd5
pjU2K01FZB+Q3ZsQBJnEHYr1eaM5crmIN+Mhy0zm7BP+34C9RhjfpOruY1PbDDNHD0jF1fCQmsYi
F0gN86MZL6meUYv9NNH3BnunhvLWLQcrp34lxHajpcoHqI90VRNMKXk3IhANkIzaDl+F9EuZansl
N5G65HDhNGTCFNQiM065m7dDjPgRymcrsdv1GFaXYawGXluNBOcW6Fx7gTnXH7p2J2X3BFOVbdFN
vCFRYfOVl6nFR9Yo0jMGo2OmKPs5Q9nDbx6t53FCgx0YOEhIqYlkcjH22g0UyO1Ydh8p8TZvZGha
WNWTbNaYn/aRaMABKrvJsl/HRH2ZzSn17AwE3JS9ZDADZItw1R+qkhGXQryqaDwd4AG6pOjYiI21
NMRu0I0NDntEwrkatoaddBtVQzoNB/FSCIgYYyn9QGkaErTVtteKq6mUz4xWkNAm8QDL2rmsFKij
dwtYKHREE+xKPdeyv1tGf/anLaso24Ug/8UFkqAl/KufLnBt2xoimKzpLCfPXoltcBhvy8t90q2U
1+KxWqd7ZIpVcCSC1fvJ1tj/sMGdf1mufyRmLfr5z4s4D+/a7Dvo2Caizc8P3wS9OShWP58Hm5nv
3lUZWY0vSpmv/vnj6KrGQAG4CnWHvyNMux17Vgz876zFF4C3V1n24YZ78P1/8zg/736/PJ08n+yB
Ghx3DFE//z41p3qz1yL1bJnHxiI+zTlPPP717yL+6DX78Zf53YP0kaq2OsHq87BpH3BUrYed+s3x
F8vaJYOtcHXTrBHfN/ru/gRnYnUaLuPNQ7sO1tfJQa52YLEuOp+/6Jcb/ls//PXPp/8cHfrlSVia
KKgqM4jgftEBfhAFMgDGZBlV7cyE4hRcq2v1UnsMDzB/Of/60+rwrG1H71Rv5M40vfxIuvMa6XYj
V9l/B2//Fpd4zv/8ILnO/scvG7yzfyAu8YXfD5JQJJYUGbYP/DUM2DhB/XqQ1Ggs0lVwEDo1Nhw0
fx2+GS7hNPDpLsLIcoxcMtnfxSXnX6wngtQQbkh0iX8mLmHh/WlxMFXT4fuwMqkCMyJsv9+9z+sw
GE0Fs8EVmMwHuZjnBlx0CkfflZ20zRm8NhY7NssnU1RYBcyMCJWtkNrKGX61ylAc5pChGW0CDVud
eOQWafsNgVgQMDr+eMGcKV9AuByKGq8TfbmuA3fw6sUUmOAOBCAMW2h0InKk9r2Lg5BdpYCegyvU
xl3IZyHcNfgNu3h8DCSZziGpbpsywrWpxO5OU8P3ArfiaKhHhignPA+Y1BZDo9ok2mYysSBUuB0z
UDLTYn/E0n9EgHgOOv3QWVULoLi/VUlxbMIa+HMvMc8xWXqzgPbtusVi2QBDxnM/flil9UFrROIz
WyGuhjPTHY2nQi+LQ9XjQDJwb4Iiv44WOyc/5rtbEAkykeGNYfEgWGX5MJKzXbP0YA+CzWACYkAq
34QlknLAZXk28w8r09bjAm0os2orwDjYjSRck4Y7CHzOKh9MwlJynv0kVqx1r4xXdiSNVQwaIgYR
MSysCKFrJbMhhzBCBUkC3sw2w7JjWN0L+F34owbUiR78xLxwKBx1enBwxjjnsQUjV3XjzCCALdG9
iJTqc+4jE4ffkKzbpIdXTRBmRYRh3OYxEl8dJy4knCm6NlL9HlEcqyVQ7Z3uRKs5TI3nWbVXVU68
p7/rrSw8EfauDrOaN8BUlXRXmeVaJuqNhrTBIcNBqkHjWqVq/LBoX8x3emdlKNy3jRBEU2VBgzJL
WPGKUp7DJAhWVkv6w1LvAK+jXCQYlHsuRpl1EH3BUwxakTTWY2XG32wjvwiUBI+ltoC+mi7HltS/
irxF4RDGs6JnLxyvAZWE9nZyRYkTKtnpKsqZXbb+2M8bRTdIOM3OZipSglE2Jun0wgpsgP1UZ+AO
us3n4lPNSqJBvWOtoEYxKklhSg9K8q5ZypOpM7KJxpsMo800KHcIqi8d2yWXBBffpnKsx+akGsH9
WCTHSZLqrAP9IcwJi0dNcBeM9hE/DO5hPRQbo+LcmjruqdDFc2DLe5RscEYh0K0R+BCBGvWtFe6N
bJJTWDUbPVjs5fZwJTVxY0z8LnkQXzettqfIxMOddwgxdveWPFaK+RZO3cNyXQkLkzGweRXF885o
8lWl4sRN2+nJ7B1nm4RKvkpjZhssc0BZaoUx+jKrCsYBHmXcPDVtfjDc4TI19H2kzg99wVx1gCbs
1YbcV425VBgsE2Ylu2EM+wYTn5lNmpHntJztQs9dM1hx1kEHyg3qZ74BP7ubBdprUuUJSOrKG1us
vzpz5mXFZZXC25WK4Vz23EB06pQ2/TBdhyqmZ420vcpTwJp0bUzWZdK776YFAqGyrXvdEpeGqAkb
9owNh6mCCLkscQ1RwSFUb3W32GQ2dhq9avNVy8zf1cxslyMZalmHBJx3lmfxfuvn8FZTxZudMxoK
deeSXqdgG4aKsuH+fqNhFWTeDbFr0u03HVL5GiAcABmrWk8GTPE81sWCFtikjKYgowW3ST0TTG20
uyIeCqA7dvxeRcrJgoq8po8ISk38KKOBOFS0y03nc+YIvO5QxZn5qszga4I9cWsqoCnaOX/MMTeE
l7Mekl+zBpxwmnk0nebOXby8zeLqpU/iBSOVixo9GLRXzU8BBrCVjRnY6pTam/vmLOLsFGEXNrAN
j9iHtcVHbBTNIZt1Mp0iW/edeY1t+LJ3AcZbiws5wY7sYEtW8XThEsCpbEo0fBTROwMTMz7EA1zy
h2RxN6dAlfhp5id3MT7X00NuyutKJmfeDzwJWKRzrNKziQ7XLe6BQYXbt/ipR7e7LTBYa1Z7oN/g
KNTxvtBxrmHEtjBkV64oAJfyqV682kDMuJYt/m38mjrTWTzdhYq/izXWxwK1K7B9N4v/28YIHiYW
vJ/FG24uLnGs4vjFq2Q/Lw5yJYVF/uUpX9zlOEz0PXPh2HcX73m5uNBTtcEJtjjTwxGZYPGqfx1G
/n+zkP/vgTFVbk9/firbZh9F8QcnMr7o+4lM1/7lmEz5fumF+zp2/XoiowWU9if+RV9bqAA/nsg4
JkGs+H4k+03a47BGv7vLn+kuF5JlSPgPoACaxXf64brGiUx8sTGXznhHgNDDyfXTuG9qbX3sHZf0
bcMc3dTmCqzwwjAxlCLS12YEaPuFJa65BksM8SRf4CczFBQrcS+awk29Kk/fUtaliSzyoHfhZhKC
N2JlZKApG2PeF6NRr/vBvU4d+bmguj2YI69ur5OA1FFiiAmb9VZlXO4wNh8rZacwRjcbfBp2Ul6E
ibxOl0m71TV+SC7XVklwJgleS4byuDXoQGBMj4R50mfVj5f5vVwm+b067aZltl8o2lvCsB8np7lv
HPsJs8J+buQ75XWXEGgyczGcWM8uU5RucQ9wRvhoJsdPF19BsjgM4G7UVzNrKQpC4emDtquxIwyL
L0EuDoXUUBqQPbgWVGAA6x70s9+W82OOvYEKJCLxi+OhWbwPOiaISOAsMvpw0yz+CKiO9jrBMuFg
neBIO/j14qagN+85x14Bxfk2KsorIqrImXlgbvLFi4H3bC8Xd8aXnVxDjPFVKQa8E7g4qsXP0VPZ
4WG6Q22ZrnMz3beMJ1dwQr5N+eCQ/8UXQqkKZzEEDCOcXmEYEcrRtM9OVw4aphJowBfJ4jIJFr/J
8OU8WTwo5eJGmRZfyohBZcaokiuFfOL1PHbmy5zDmgfPxpgFg0NyIGpzKxfHC+CCpPXRLMhTKnrR
z+siTslZgqhfQpfaVwJzDE17n7WOUICYkR6F1DnifardSx2sysFOy2FLAqokUp5U6lqoBKZglbm3
AV4PoI5AIjgxlbO1G8xJbNntReaD5gy3ECBBiNpFo1/YWdY/OqXl7AivqU//XQ5/mXZwYfvz5XCD
t6b4oxsqX/V9PdTgElrcAxlPwOxSBZfXX9dD7A8Qb7iEWip/Y6nXK5id/FK9yf+D+NK+phlfq+j3
G6pJKye+B9u0deYHy+zkH6yH9hcE5Tf5ivXQJXXiEjC1NROh4ys18oPSkeaY58YusE/wjw5hVw/F
ZSf1yfKSfKgq6lTift6CLmgpx8nD8aGEmzn5pVss8eokeh6N9pY+mMmP2oL8etdvAWX7yJIItWqh
Q7fOrFXpJm9g8mPOLWa8npSWEgiqGjDIgnfIlOdS5jfYQR9lX2rpdYcf8xar3s6VI5nQAFcQB5tQ
jZUTpBJHrghPYz1UwueJ9PQ5CKLYOkcZmAizcNCeBYwsY2Vhlih9M8jV4s6ilGgTcGyT63bUgo6G
qzaKH3ruJRQ+pfIx1d0I82ta7jByJxM3kuaS9pqD7M0bMxTgJuziQZ2zu16wmJVR9a4v7gsr6mG4
U0HadAnHO+MtWlo8GkWQ+dcxVIwPfRSbnsH9WBkUX8k5EYWL6UBUleY7ExnKtrDFGtzIAmVwkM1T
xsDmLRsH6XR69SYl/qa79l3eiw9VJPG6zXlSTKe7to2F1srQfyf5/is9rNKXyaB2JJXxTp2RrOtl
8pBnzl2dafqmLNKCwXHHCpbouwhkYzEMjZ/LeG9EBt2ceWRjurNnMospPn5oC5yjpoNR6dcByQaP
cCKWDKHvyhTdXXdS6bnTqO+nQWNm0qvfVEgWTt/mnhKYAQP9dpsX7msYlUfLtY9kNZY+PFZQ4MO3
ZNkHz6U0ZQyUb6Y7bzJ13MOFPLHfkWkIGr9qWNDyYiGxB9VnVyJUWzGEDtb4dxm5YHen4om3dAei
arB31qKE8Pa6xlHQrTqnPHVmonCNDs7USRE5IqEInOMmqBQkPC4YK3VsYEqYQ7v4fwm8lE99ooMP
CbtDxyvYtf2GdD8cBxMfj6XW5XouxD4fpquxNh+1tju5XXyXdISeYrV9yMPoZmmXwSrQb7XQUojG
dAYdL83NZAd3mBOv57rnI6JBzaeYNWQbiydfa4JzH8y7KQsU2gSU96ZWIl8VVQqxmDP7rLkZHiS4
KKHZ0i6gCp8ynflQVvZVQh/SpnRM6VV9YXj5kC3EbnmBJ+YbJbKHuHcAgbbxJeBbeC+qfaR2Vduq
LgUpE/g9jQ+AL7TktVEruZnc7sptxNOgRKrHR31YJVNOBqE3PoEiz9QLljf9DBG4t8HOEUCx7aV3
rAAv0qXDvS7nYqcI3p3BcsNts/gjm/SZu4L9ZErzVmeksx/KlCFco+85Dhq+4TgX0YC52SLs6Km5
EBtZJ1dxaEFFTW/ybDiRQFM43Cx58QQkUu6e9bCoN1aGvCIryaCuGRfIiHUnNSoc1Eb9DHTxohrZ
u2qY+1oaXHvCDnlF0T9Eqzy0ie16eZ4/5LLT17rb305Tp5GyyZ/LSRxNpZzMAZkhovDXFqN1bSRO
ZcP/Uyeq/+o3Q9LSq5twNJc4dm/Wl5Yydus5RWwa5rfG0J9rxzV2rgrdrXLt89wPhe90EeaYBnMy
LjmQLtH0TqKzJc/WcdLpcC9WarajOHFa9XaasNYaL5UlbrucsidJxcuGukLpU+OU+ElVFQR81dOA
X2fNkOtjmCfXL0wu2ok++AN4ll2aFi4MWQEjo69hQ6kIWHiQ35k05p7WAlFVA2me4tGMOeXUIxNg
klCGXt/Igvvc5ODS0igaSmMA14YTk2E2Jj82Ie9MSVRd5rbcT3nwkhcjUEdyPmvdxvE8GrxbqyZ5
t+wCUSpI5rVZBJtQGNPOKpp6X1Zik2Lp8iPbyjaOgw7Gejhvi6R+aRyTpiwF/2iwLVEwriOFKjez
jF1ys1JdMVF1N6NSABaER3BN1AZ0Sw3eOjQuEnJNmy5PnC2yITl78hBeMEzTIer7b3BtYCNRL3TQ
yQl6Jg4cUHJhsYuKYr6fZc5rIydlY+K4WyloHauQOq6V2Q17+qU4l2oOJD+TiqPMPQTufFTiOadg
C7knSOdreoHg/ti3jmJbF3OL8BX1+NuQQ85VH90VOnPYFLb9hgh7vOojpaGas3u3ampTctwR29Fh
nj9p9JoQqx5XWhaduxj7QcDpPi3jYVtV8xEi5wXBfB+q4HkgXLk2klpdqOIY3u3mBBn+3cGSmLUB
+qztotpRgAvVwCQF7Uxr2ieYws1cWVRVPmh9+lqmyjlr4tuUFL5H4ai1ThoNEIioPjKAh2Guik1n
CHCdseBb4n73ZaY+V/TirYY+PgVuj11OUwdf1k3glUF6LBzwn8mYhA91lBGmD54ttKWVzkeX2r1P
4gLPpgGwJ+pO1ddwuMvfA1N31zS+wSfKs4e+dLA+xIx+dUW5ntVK9ZUMEg3dJgRC0mNG2t0T7Klw
21jANO1jdFrcwcGFA5poq8bTgVub69epwuWueMyn5jQWOibEKc9J/QuPF/RQt9rRzPJvSuV8yhE1
zUJQpkVyF7TJB16ITduX3baloa6t+FPwKg9qolJfecwTpJsebEubcqFL3qi1WnJvXJoae0/gY3nX
OKHXWs1hbiVCVsrLkyNcJijh48z7OQ50VEJdfBjwoFe4Qm7jJOQvs4APoOvjBu6aANWLL9OJt5zc
XjiB7eORQnNOOozwrcNslrnXU4Zg1Q4XFfmoGXxz4rdU5STHFBF/a+Qd8V0IC3YA4xInl2rnuNmK
B81gw3OLcGtGGm00DvfPNL5vJCShqgUlrJD9rWL3gl5zTCW4LHsFeKfNRRmTRL7FNY5MpydrS5P5
CrEF8xfA5w1RF6TwGb8DJtjbfKj51ZwCYivnToBBMVU0xnJ6aPa2ER3klHxGmhlvQulcTVqyLedt
6xIDdrYNoVdtvHCU9C7KBhwwgq5QXEHbJBnAX9gcZIz5zXDkxpLhm2PFF0LvSRoGasSLVb9CaFgK
7CQ4oEodmiMfn7twYsqAnPWgVTCtLOp0WpBzAPzJu5KvGbrUDxyjui6sJoeTUBC5XIPJ0ZTHaChL
1QOM0TYHLBASHFYsB2fYlNmgTNd0M78UqhkrvggYpoezLWNaEtNDCaRiNaaUSSLBbWc3RN8slY1i
J3BzU0VuYlH6Ik97PxjKJxzsXAydoUYODTW64BJ6cYtbKaxxw3D7k6boRxHbJnZ3jd807jau6e4j
W7xynz+PMU2XkQ0kNoq7nO5rPiFpKigVkoO2UtCJ2U4mzoUqG1vLlsbrt7x2nM17F16rG13UDTDu
rBL+2NmnoYuv3N6+IFXmroo2edXcCXyQuABNxOmmrN7YW0hVAeNKC+e+jWNx6Hr1A7ZRsZ0TFT/v
4OzE0J9xPEcc8gCjcpVYca6RvhUU3xqZ7wyq4/GVlvOmpjFC1DTLpsO66DAnm3kpd6y7F67ENTKZ
bHZkdnb9wCc60XlAE/JUKrJ21UJ/IkJsrcg2bSud066rpS9pHXsiukoripvMaUV33p4CCTgNznCi
CqNmYtNd5WbyjXwYE2QNi/cUn8pQPZmguykqOAn9ymJyQdue3zRKeBjU8pG20n0Xxc+d3d1Xbolr
gioNOuNGy77FJOJx7j1Ntf4SV9rObRVWxjzcz5M970FIvfAD3keL0mlzFlxHXUU1Uq68iLwcHvN5
CFdlnRxH7vhAGumAnfL5Ug6A5WpLe6oGFRtHei1l8ZpWDrZxssv55D5nZklzXPSYU1n8X33zl6mz
hh745xf6Y1yEfxBnWL7o1/s8aG5bmDQM0Anwlc788T5vaNgTF2jD4kX57TpvgX/gH9t2GPLgE/lB
3jRhgDs4GnU0UYqp7X8kb9pIBj+rm67BEBTfokrQE7WBHMaP6qYWGB3WJxtU2awYzT23WrDUXjHl
mg+qnyYeB1UuJn+UGk9VaY2okDK7VhWDdKJBt2sTj13sdbYa8Cl2rBYPcdnM/mQPzOx6s2VO1LbB
gewf+wUtSnN6XXJvB25/w3znZZQ6fQOGcZosoIFiuexTM8LFq47eShvBS18kAXBTEUZ1xRtRC9wi
SYlZw/eUKAmRFjxVX9oCWCOOTdmX5kDBOPLDIkQMZsM1BM+0PVpe2U9dcSmUiXASU8RYxAHjt0xi
NsfXGBRD9aZjqw7JzdFQlgeeVhUbyHzSK/NkVyfKLgYVTn1o8aYSpYbnSM0Ym9x9HCrv+mVVTJel
YAaJruO52Zx6QRbcabVznZfq2gVmmczXWmfdy6F9tByc1Bxw3f+d0sX/e4MGDUvQn38Qga2TtvzW
/eesYfm6759F3fjXop0RrcYDglEHLf9XbU1A0Ae1gqpkLHB7ZLd/a2t4hReeGnB9AxOVoy2f0+82
YqJKqga0+DdF7h9oa7/3fghHp83LhbbiYmjmTf3zZ7HrSczRzS3PvXoI6U2cbsp2+8OT8gfes1+8
yL/Jd/wWOFy487sQzfSlquT3H3gGfEmSttXZkDh2WyAALR69yNAL4xypwK0WR+mYXs9lbDmnpSr+
Ce1dT68d1Zy8SM1HnVK9ymvpCq4jmkiDbA2CYD3H0Ar62fCmKTsHUFCyUqFB3iUKWN52KnbFKdLW
c23fjHG7o9CVwsGcouO403xT1AcaS68UJ33LpvRVIazbV9We0OITJgcOknF0FQKRcPRsb0f0zGpj
88mpGkJvLP2MWcA2rukUVnALrmi63dUDp5veTu6hZdVG6/HrPYWWuldZPVZAMA6UlXxkLctKMAJX
mfKPoCKf4OQV9Dd1JGLcNhtI7xdwYKTvFMtUVIIIrWz1bWyLgyGUHFmlAHQTHmiav29GdHM97h7T
fGoBTsj31hKHSTTFpk6qyyIape/WtkFFZGB6QdncNjGxXVvARwsn4xIsL26c1rjOJLT7eeiflMSg
6pDqXVO3ifbq3WdiU/PiQPEgGlbiNRdHWzaCUXAdr7K0TnaWSoqbW2vojUlfrONKZ7QOAQL1cH7U
8hLdDsmu7JUbE/QkPSrZncxhfLpO+qzUjVjpFDW59HGesk6CjFDSQ6vEQO60mgotJ7wIu3cjKTcu
pIk4l7onxpq7ATSbYCYIH9QQRctQOzRO3/jdYG9n23yvYhwAcmoIx4l3p80j30niTyfn4BYKZ/br
zqWyzfoULLMLmzeukae0NtlFOoA4bXS8MszPoIDetCSh/10gSGIu32cxzedi6Daxs7iEDDyjou3k
Wiiq68EKPTPdvh/CntRw1gGQj5pFNb2F0ln7pR32XhHgYRCEOwdmS/My93Cd5FYHbY8vgMO4Ozym
KmfFeLI+AX++mFq6JFhwuRpjSvQEDNFlkWeNF0IA8VhX7sOpvi2EWcGJM67CzLb9qIzA247jy5Bk
vHtkTfRI8nzY9vycWgGOZyZjA8AjAa9gMzTqfRpmnJAJxYwKLY9D2KGcKJ+d4jwTOmewnUbslxp6
+BjguCBwbZXgmIwp3VdfXlkpmjrYVTwbLqb7+s4M5bxiYse73M3S+1SlL9qcx+RsGfKurnWmO9VH
jssrTquMXFn1jQptNjnkEXwC6Dip7I59EyePQnQkfoOMu+pD4a7H7RRNyUUOgjBWlJumT9xlhpfV
xIpzqigGAm2KDXa3cavSazMQo4gJXmjA2C2NS0HzB1NOqnHIdVd8Npf41Kkt7afIMT9idaw5LnAJ
EbO2ycGfDNF0ZFD8qoz9UXYx2bT+OexBQrHm3DSFtibRdVNqxl5qyg35a99Swge4T8+tYzJTUI+u
DM+YV8+U0V/ObbeZkVaBoX3jmpBxG0r8tO3SNbFiLyVpZbcNIBr0paYaTjZVBk2d0keGxwt9XjKf
4IKYOAoqoXI1dc1DHrvpOtDbjxbEnV6Pj0r7Yfa8EwfL3hgCnoEX0J2A6SqQjIehtyjKWh0m+8EO
h3Fb143uJSHBOtOpuuqUGsZTXgpCWzOcuKEIqVZNFnhPWopqWuUALbZ0uzWekzHxdIz8Ia3bTdPJ
Jymzh7ZWnnFzGddqb85nNrx602T1a61r+6gxvo2Bc1XPgO4yN1wS7XgBUZt8aF6QqJMs3uRzDv0o
d6bLMI9u4zB8Q+dWPJn22bHhisIYt8MiXaBwii56LnReRRndxXGZAHmHlT+0Tz1N3QhcRr4JFtt7
xc9HUp69h/p31gAap0DM9tV8pXSOcmcliIXTBAk9bODr8SlvHwO37X3R2fmOT7Pj11nnC2sYdoPW
yS2aSEnZTDltZaHCFc7g2YcdWjHij7mTtPLumBJTVd/dtCJarkXbZFhGv0oA3JHpxWxpdwyxnxpt
vA3NxtoTSXkqXUnuEir06a+3XQ4PP5yyvzZdkgAkyixcBDZB5Z93divrK93R6/5cOhIh5Cpx7ix+
apM5fPJ3VumfTxHLYzH9szRDW1hwjP24Ovx4om9bmOYLxugMRjtIH+ppEyl/43b+u4dY/vyHESDt
PVkm+0yeKz6YUEZX0fAiqtu/fs7+8EFcLBw2JzZNX05dPz5IG9FqnBRSno3mri4vRgX24f6vH+I/
Xxaeqh8eYnHq//B7dGiHoSZGeRbObV5v5pxOIXlV2K/J9DePtNh2fz51/fxIy0/ywyNl0WDmFtHR
M/WFK61gSKIf+pwr+3rID3P+73qtP02K/WfEQHMIvJkE6KkNZ5b888N1YTLOTadJvAVPWoc/zLoL
o+OUP309f/81NWnYwv/8rrHPq48mfs3+4K7B132/a2hcKJZ8CWZDTmjEAn+7a2gW5exc3VkMvogE
fNX3OT4XFC7k6gJQ5rP71ej+fY6v/8vCZu4QZeSW8JWB/Ad3DXwBP70laYQ3cDbpUKJZlZZrx+/W
CTuqm2JU6ulyNJgtb7SU3rHLyib496nOc2Fy1IKny+5uMAecd6WVppIyzjFhBbNEehPoqHMOXsZd
ow32BP1Hf6frtaVEIXglZXgLLi0/TylJs3q29A2cSxD+Qm0vS8v6jCqHHTendlwrIAQxdDHAopMu
7yxpE2DWzIsZhWyvFFnHcZ/p1OSNFrP6JAmbU6VqDEoRnZmYpkf8gYXfVnLakGusVl2d4pUmwecR
GGQGjF/hJIbpkJrxhVN2wRFYW7pJFRctD9sWpD7dgnEEsnozujYzrY5tuOaM52kw2ak1ZEesnZ5A
mVCeM1bvyhqLgx31d5pFhUSQo8yiAFde6E7KqUmsd1mw0delrW0pAP6ck+QFmRdvqhi0fC8DSrIq
kUz3TDcCxpHRZUgn1r6Pko8unPVnjr1MfvEibAYrq327zTDV4ssBSe0WLo0ogba2pKocRDWqF2Zc
dNuYMOEqbHrrorHta4ec+y03ob2MpjulAqhQikJsVae8ti3GVAQggTwgCHE85RY3pyjuQpW4v6ZU
udCiHg/21ETm81CFjNhVIz12waTRLpErE8fkuWms5iritRtAY8WXk8aZfUWHRcCIOOE7uZ7jKjRJ
OW6NzwBPkrmvukm/U/Q+i/cQrOZDMxTuVYyZt16Vs4MUDprXCK5cVHFUaSpZBs1NL3QMAlqYz7di
YJ/2/7t6fXmQFlnjL1avYvoDB9LyNb+uXOa/rAUjS/7E+Z0DCXMSKWwyMNDh7F/EzO8rl81yRyeh
bSHXUemzrHffV65FskRv+Det/h87Mn/OgqGXAnoxlp8BFIZB3up3m6kRZZUWDnZ3ylMr2pRlFvtj
mXOXvCaAOTP0id0omK21iAY1wts7pHJtap2u4fXVp0J6YoqBHtZOXE9XZCxMBiVOL82GlMFo1bCN
zCwytoSd8TrRH5rFFI8pQTLovhK4ZQHm0urF2e57tyl8G6IThGXTlC0N4kqdtK/2DAtkxsMNQIRh
0NgMbstFPGq2SVu5l1GtRvsQDN6qllLc15Qmpw5G6bovAdyJNEFaqOVwhOM9bbANFSc7S/sbut7k
m1qYZkWUJQrf/h97Z9Ybt7lu6b+y0fc0OA9Anwa6SNZcKk22LN0QsixxnsePv74fytvZsuw4J8C5
aSA3CRxHKlWJ/PgOaz1r0JtpnbVyfozNtKSVLYOLRDL0NbaGCHmLgi/OHjVxxQwZIHxfjieYtOOF
gorba5DIlCPiJ1ZfavMIcKl1s47NmBuxX93BtexuVdCYLp+g8WTPmbMZomxkAoBVHAU6s09du7Zn
GV71oiHKennSGdSCVDK6DmGKKYuLBsfPOsUcTxCKwkKnbbG6MH4hL3Ieum0dyOislQpvuONE6oM2
V/NlNMP/BbzXq19SesRDTxLRTiCK/KwZrQa6QWXPXdG4zDBGz32fPvGRFrvaMZUbpY3lzE1gApwI
qnZWBvEAF4JYQ3IxDEJ54rbdOBDO/GR27Iu5plPI64KORJAFGSHvfGKBlh2Rvref+rzsYWIkBaaq
WD0R7JUh6okIFCdSlbHKVJtXDASkNWdfe6nFWuWx0yoPrMWHQ9ume7bLM15hyV7XhpheRh1Yrl3l
4X4qY52fLbEk+L6mjHm/xQNfCjQ2XccRXgu72FQhuhsdT9FqMhoquFl1gn3WSOYnxhp3eKrUoyrZ
1ZkfP1hLKQ7vtlRZvzeNfBZzhN+ZDMFdGLNRLXHq0G5X4jpq7NEb2rH2RdxPfjjMwbrF+BX+c7J+
WwYtQM4/P1nPzWMRPv9cFS5f9cfZyjGpABTj+ETV/jpm/j6B5mxVGEGrS5dIkrVJk/j9bNU+OMuK
CBg4LG5bW4Sf389WDbU7mxub+/lV+vm31kG0iD9VhZzeMO3wIKq6piz+yLeNCn2yILBMDk4woWEn
zlnqoPpygoM01fKhsNplwy6L/kFPon0ciHs6KMgsVvKkDYYCrooIm63JEmnwaw3ysFzVlT8lKBZc
1YzKT2EDl9ql+gWxV0RYf6QkNlWyd7TmkcDQ+JmbKEDuUBiRZ7RDCX6K6oqqkxIxTmowPy3c3azR
h3XdEBa/FxbuGScViP56TJJpXKFOTwyIABPITckOOZBSIraZu8I9UJ2v7M5xKooFLKUlzjojRXrV
Ciw3URPus57ybi4PrSET1TFeKdqM4MzZBpp0BPizU8JoN8UBmQ1LSMasSIZLfABcXoYMFHXmRq6k
y2Sok+sqsA8dXjXXDO2C0rBVjgWgGVeViKMSZpKsGszuHoSI89S1Zyll6DyGukxQAWPyEp8QoV7s
0zN8PZUba6J5SbXuJs7kG1qL3GDk0RWXUo2NR9OxdNbVOqzM6DPyBddCAxaQ1HEa9AxMQBm9QDSE
LFVZOB1JRiHf23OElhOtaYzryl7GffWssrvON0XN262Q4E4qx04wW6anKkV0HhBZbeMKwCTn8LoD
YwpS0iBrbHRRukGKcHAZVSp+plg6weyheAVBLPpK/9hywFtRSnCfyOw10DTG1VUOhGDGTVZZ1b0B
fY8HgeTE8GKJyHBbwXbtza34i83Hj+2OTdPEmtMyAIZAMZcJXPjxwk7kaJRTp00uVDmq1qwj1cdI
LFo5kQJB/aey/FZZMmj48/Pv+Ni2z79w+yz5RH+cfw4EP9h54FxUfZlU/acrxgikLf/Zpu3lPGOx
/f38YwNH4vSiipc5IJlQcyp9P/8cYo2gKePP5i9tSsK/o27HHfTu/IOJwA/GP1UCD3RMRD9eJkPv
LFkZ5ngWbJctPyKLkhGzhaAlFDFZQ2pw6OY01HyRDEP6CWQnNhZFhh+/q2Yu32kw5/TYMsmc/YRb
aMYYXBUl1tZCM42nie6W5rQi/JfclQbWMHXgdjKV0Hlx5FzpbsgLYfXUxZYeeAEQLweAfjmCr6QC
lcgTMEN1xgGdjkjE5pLp1crqw0nxczVsZl+3FFw8izaJaiRVSG9MsYM2Q6gbHzMFw/MakyNwO6VC
W4UCeluRZrol7KVPXkbNnggvpabzwzBhFobpXN5G6B73UmBnX2IMQCSoMF9fiUoMvpRRwRIgjb0G
BPJKziVWGRTRXwaDsnKec0bUspCilVGH+sYQ0Ys5SvCCCvslKTJi1vIQLHHF33EQYtsZesQxVjke
ohDpm029jPQdEhgDALAjjcTS3SLmUMUDgwqdLnLVyOjo+mWuwFNL3oJqg9seoHpR7KVYm8twXzVS
dqkvp302Kc7Grorn1JqNjZYBMsYCpG/asot9GeLXKg3BlulGn12mMmsjiL5MggZ1ldf16JPoSott
a88RWp0tqgIui4UnnIc63oIyhNFrSl8qmPRbc856HnHEF0Q8gqwxgCxN6hE+xWRovbHhWZN1AAPL
Mm+JXZETT5Wi5MTPDJ6R5PF9Og5uDMjVU6HnUMWO4spxAmMzOmXut4v3G/8Des5G55nRB8igZtKv
clv7nBWpingCcHPT8CwhhxOlECSXVVchFusZfG+wV9RXbKpo98MRV0BM2vUslJotq2CLRBmZrWfZ
mXyevqiy9Ynnt2IR/ZPjEQ2mIt0qGXoqktjz7T/H5rdjkyX7nx+bh+fmV4cmX/PHoWkx+jPBikBl
/3fX/b1oVOUPgMcUJnkyY7y3h6ZG1/2qJeD0WQRDi5zg+6Gp05DjJJItOGFUnFSBf2OUaC2Sgf8M
txdHEGsNiK3MyYDNoC748cy0lCqUlWjuLizIySQgxQ2G9kjNKG50Z2MN9iPpweO6XmjcCkHvurTP
W7tHgm7FanLPadQH5ygo+3qHJ47KIOmTUfaxu/cW+VxNM14WY3VRaWl8i7YUxzABjhae5bll1hUl
D1pm0PsX5KVXckCbH7LGIfC8WCYDqj7Dtn5tcmqqwn6nB1KOKknprKy9zyOM4WSoYY1Gpqr1Zhu3
FJ9TrOzznHi1m3BmJoa4IFhCb0BOER0W4qC00MNOA6EYhLclGykVtT/WgbIZUlPxx6meNzIxap/m
IeqVbeoIc/a1thehJ1RnnvysRyjLsHU50Qu9ktD1V7N56kUbESCiluZNbJoN3AWrQjhbiHajEH/R
3aRaBqPB1KvsPFFOq5va4s8iJHtrHnUnWVX41xNK36i0dph4NNn/5xZ9vUV1Soo/v0VvHovu8V9u
9tg8/tzeLV/6/U6lhqG4xGuHRe7f4/s/7lSVv6Knon2jruB++aO80egJbR31HRMySzFfm8Lvd6r5
Ae+Hpjomg3qWen+vvNEX7dOPt6rNFN8BC6gZMIr09xIjSwmVLGuM8qwCJFtR4UOIGIXwp6nIV2Dp
FcbT6Rqm9g62HOoRp4juc8daPM1r2+k2KPguLO7TxJDw+ga+rKN/zhKrPGaxVZ6TuPkkZP2z7SDD
t5cgPwBt/iDSW7Mh91vGrA94A9hHmVhXU6jNPKcgwMl+RsFeehiTZPBu8sUcxYNHnumAbTVCNWwA
FijkLiJj0PHnpGH+EuKEQkI3B9i0HNkotxAycuZz+sUkKuJXOGcw9raGF00d1q9B/sje2LMS4Y9q
Rwoc4DbXhO0NB8d4MnmfiN75vrUDyoIHO6ky07hoApMnJ3ZsXwQEPPQ5sYKQm3f4uoIdwFmY9uQU
lliZN2jzs4OxJKoES7ZKsKSs6E3yMV5yV1CgAAAOkzOzGBdLDKyBmWGN2d82cW26iHc+mlZ4rpY8
F4h9R32Ka/C0ZL0QFtN7xZL/Mupy7ToNn2la9yfSMZgaEvS3hrC6OHj3BkEyFBjXTkIAcICcfTWP
ytZaUmcE8TODop3CYr6Yl1wapDjaqk+azxmRNUFfwguKqyMJXpwgS65NmKKlWpJuyCBM4aPCkKuW
HJxMJZm+M6/SJSFHY8lMFmXo10t6ziiVT/WSp6PK7YVKwI5O0E7JcDIneEfJ+oO2JPGQAnqoB66Z
YAnpiWE22EtuD0KI3teJ8mkLrBBE+9S1drIMSIwd5nW3XvJ/wDZ7KYFATSJdpktC0JzStxoNqUFQ
Xa5VUz05BLb7jRgmV18yhtTXtKEldyjTEY8lBK+TwRX4bdjeTktKEcKbU6gHD2LJL8rIG2YHYXpG
J3/SiThKtNrylAwX95J+ZBODRO17VIhFmolHqolJakzykvIlOSlozV1YE/IwE6rU9e05LhFhXJXU
XvOzmLJ0a2HIc9LqEwViTZYiM8J41k9Fn1b7pHPuy1S+7ozmq10RCFrTSc8hcezEK7WwgTtp3cjq
ocyii7gs91PSXvBsuxwA33p1G/WbLOjHnRkYL7MpwQpOwPFt4j6wBtx2w3yjmvMprBueIsjl1mFM
auCombwupXfWbEZrbn1hRdtx1i4b476VqKjz3vlYOMoqS8JDo2JDyjuDhRL5Fgxp+5kYoyEe4XP0
Vxx2iOM6jxU+45yY7j6og0ut7Y7Ms8CF2N2h7ONrS7HcQIQ3c8Vsxmx6LP4TyAK1ISpFBwuwcUIF
gKBg26al5oYpQbityVhlgRTZPuPRxTPKlVNUMIUKRJkrZCqX9iR9tvTipWzkrwRupi5Tmk9zER5R
awE+rLEoGBpqLrkJLEwp1Re7lzAKpNEpnmyOCVm+zEtMGj2+sDMq5Wcqi8mX5/G5bxfkizlda6Oo
dloxPChlvq51+bOILYr1eu0sYjb0kKy79FbfTH14V0yMVtiTMlQRG3x1nlw1l06cHWQzWc9thVmh
ZkpvEfzO0H5bFsLZsx77aPcB5E0kcZqj3yqyoW6wl7Ye8aAkvU7J5NeSeiI5s7y0SufaEO12yvTY
LbKBXV2mgr5JlBW6FljK1jLcRxTUpa3uOnH9GNVoITvBNMfMMkJdy5fQeYor67rttOuUz4TnAPbc
sGD+nNmXJLSsZYx0HGGLaCwAszDMY+xCR9lEdW2Bksjw13XS15hvZ9tp7RkGkzMjJAsCiaTZx8NB
l5TC5xcqtoY6XU9F5pFqH3l4ahWvtwnnmPBv9nYDhBy3SSB5qa0dIgfgEU7bB7md4x3HMc2xTtOl
T2spqm/UONiYs0BvF5m9T4k2L0vDpxQQLLlg2qYxsCIPdc06FcKXqlY3vTEdWTgnrqTVmx65pZFW
F2NZZbtKGRGUTtcyceOIuMWa0vtQ1qhViSu5jWbRr8defU6dnogIVqpYnRN/zpC3/lNPfWt5mL/9
eT11fEx/MSdX+Jo/Cin1g4Z4mam2DX+FKOs3cyLtAyBe7A9AkBfkHn/1fU7ufICfp8oWfTEZDa+O
iu+FlP3BXEZEnDIKldbCTvgbLY+2EP9+LKQWxwaVmQ1gk1n5e+glugGK67owzumQhQcpzOvgZprS
ot6aapxuRp0HrLAAddXID6EgZTu9Qddq9JKxTQOkuLlQ0f+MMiqEJAP5P5FztNIt8uQ0TH22wUB0
pJxiKFHsJScxTtYc1DQq8trMQZehdVs7s/1sMFLABAZBIQj0GZZJFB6KaTwwYVlLNiMUOqz+uhta
1u6T+ZBNTrFqk8jxR0x0mVxuZ/SYoxpe1wqFhmyK2SMkaHCLvNl2s3LhtM4zQIWrWLPPc23vmN7d
4MnfSGX7WQrt6lAE5aGOoDRHerxTnJGSInRtKbrJVeNjGNvTCvFJxFZTq9jPhffsx3aaXfmJHNzj
/X3sI/DuYoDlnnbDCJiZQUlMkC5risFtGvx3nHiHejnD00aF/ZJd1PjdOMvDU53rj03UnTv4bh0f
NIZfAjDKkedSUO1zK7XcvCTmyLHJNeC0UFRmVTwc/BTDnFVpiqdZYj8H0me7ia7EqMO87pJdH5JS
WFvtjGcD04q9+LKVAMDFWG7Zid6nNJps/krX0Jp5HQrir8IqeoJR37iiUgyvUMQGFuI+Q1+y4al0
UVS66o1dFnmEyXyqgkhnePPSm0Lemqnp+NQEiFEMqgxLeZGmFj+a45zrrK9Xc4xcdLDqW7uxgUI4
2RZ+4VUG5NgZmNzorEiSrrJcIyzS1SSH4kEUxEaG+leLfSlx2AkLnHK+15tqD5jiYZLnqxrF5dAo
92OFVxm+yAscb7gAYwpXjAl5bolt2k7OqtGVlmZ8fJ5sajNJMdBmVOE6UfsnEWHyZDe/tob0SdDt
lBhaF5pdbLZfBrRpRzbiaEXyhSrT4UPIvHFhzfD+gTSIBUADih8YzQBVyVp1tgWuIec08Ii3R11M
gGNGWDWf+AwAh6ke8Naii9eOhGN3FaQSwSRVFG3FIJ9nboYrYSfWJpVsUGSsjQkAUfealmguntaV
VvM1c1xJ5yQMtZU1yaVPpgYgH6PWCFtTBJAcLZ52SK0NxpVlvLftaWZ0YYw+3uIO7wL4BXkY1iMG
ZFsOz3jGUYqqykkjj2NlOc4VnKjQa7PkojYrqmDlDmGBuGkUKb0vyM5bqTWYMg0VixI0lW93XJCN
qaXYOMPVoENPnAr6Fm0Ze9LEcd2oJBpZBShqZeyHC1gHcKJLMKCSOKUqRnsHkXiPfGjVZ6in1bj9
0vRLtiWj3YEhb2FSYumGvZfoSPdKmNleuVQJuGybB5XRzAr4yej34WCu9MXWVEQWFmyaoLVUZdA7
ull+qhX1c5LnAbUO/+/YjPammKnf0jQzNmUODa4l3I+xR12uFHX5/QZmvpr14FA70SYbx4uYO8od
YdQnTnMVjbxrWTIIgykPitA2cR50fulgzUzmhiW7Y7tThJ1es3t+QzNoABbuUGPEOi/yq8iIyfld
eAwwLA522IcsDuVNbKT38tBseqm9mdNhgHQMETECbl0o6antG4BbtG4urvdNUFVbs29fQi1YFoxl
T5Rsxg2LuFs92VN+m7dJdnSi4bLgE0U4BWsvL6knQgCaiCLuMKqtR7069IH9PJUqBXKZ77t0ZJ2u
TBvL1G/+qRBeKwTtt7skJi7/WrNPf4rbp1/IlZYvflMqYJZinY6xaQH3Mlj5Y+aiIbRkZvptofS6
bfpeKlgfHDA4ZCn856u+lwpMW6ksDB7t33Km/lZe1PuFusHL6/jHXssFdkrLwumN8tfIUKMkQTOf
5+6utgPsCt23beN/X+zLd5WZ5Zo6ORhYOJef4M0rzFUAgJWHGXmdEiuRtZERaWJ8RSn/pkT7xQb1
x3eCsPzd61CtvX2dUlKquoGYfzZoY5SG2Kevv3+BV0n3fwbJP7/CO2FXqBBttNQDZAqgAdU/Ws5L
KQnXkbCXDz6qCrcd7qt+28eXXRmslPg5idZheKmWV11xE46L9vNgAuMlqZC24apPbkZatMn596bi
Tz/yRR33pvz7+Sd9tybUYinoxmb5LDQ/YG1TV3c9ZFX2cedxGb8wNYnFiyWpkGJRYZnxt77hT3+A
1/ry/UelIAcGBCYDFlDfzdx5aCjdIFvijD8uVtg2Ndkx1VXSo0Wl16QFA+Hrdwn02Ab0u9GP10oG
+GMk7ccdZGl2efRFtI29PEBqkfej07F+y/LPaq7tQX9ifydKXfk4aTkE/NRJ4EbYPCOSxG9MspDI
XlKHeq10gpACEgDn82DGPsswjOkStNp500zOZa5eEue5DvrPbUBaUnvbhvaJTAn2l0AF2LurYDQY
VboWue4C1EFq3JZVXXsmgaNzDYIIfkGv9EdLzv2x2or6c5vkKyERkjgWB6XTr5LklEz5ZgD6/BHd
3qrSiCMondsOeavOECxZkk2NONQ9HnJUFzbBomWa3aOqWOU5CgTHCFoPLOrx9xez9tOo9ccbX393
u6A/g+c3tfNZ3mjbYDcfuzttY++aM1LAI+I3F6KE57hirbn7Zg8/15vupR1Pu428MYHXJ9+MwX9+
yfzFJbtscd4cEzo4PytfLtky3ZEwWwAHIqh9Xct/cRz92Bn9fGu8O/CgnJFFEfE6OAyz2+lrHbLL
dKl/zeAvboJ30+xvL/X2JqATfPuW8JVljebE6jnS3IShIHkdTFlXI7M+ZphnCEC//53+6gRkBo+p
YrHpggr78fVyM59ID9PUM6hK2CVfBuny9y+wfIOf7uo3L/DuswMkYhVDqKrndvB6I12NkttO6V+8
i796kXenrDM5TFFsXsQZDnO978xb1Xz4/ftYfs7fvY93x6PgWY2WyFDPKvf2RMSZbDKXvnAgwb++
0P+0A+UUPzVlW750/3v5zk8loI44jLr/8+Mf229/Dp9L77F7/OEPgETiTlz1z424fm77jC/9duMt
/+d/9y//9fz6XW5F9fxf/+vxa44rIW67Jn7q1J+3Sgq/lt8MUMr2X/8XsWH23P76S78XRwrFDAMU
xg2q9rOW20HhbejfosaXZ9z34kj/gBUdGSImIiYcy7Dkj9Wx+rpVRopjUD6RevC3iqMfL8VlGgO2
bRnvLElcoOje3VCJbdFWFFwZfe7PhgVZfqPXd28+mMtvV93buBWMdD9cjd9eBZcLfn9Dx3FjvLvg
ayJnWRAbyUVXJnHmlbbMk4dNCiI5sr39RGsb5LeqQmwXUr1+Ee1lc3AYGDNcy1V0lcUQz40oPo6y
zIxEQfSn2D1mWSWWXRlF4Kjmu35gpLxI53rlyPj4qhXqqUZJODXamYX4Xk7QKOaL2DCRa2dtLZIU
kmAEAxrnK5FGI9ZeZIpJR0oWR/ULQ/qGdYiJmpHEGJSNAV8/LWJHAZDS3I/SnG+CcbK8TiJEOXFU
pNz9jNIo7Qq8O6r+KdAca2Nlhvag5vAwJc61TSynkelHfV1lzNTr9K4kpwqqE+DGbejAX9spGlAd
Okj7whStoKUBIQcDyY6iVadVmv1pVmuioWs12zQS646NUo64VImXQKhFiKmRdyJge8aGkKQw6cT3
r7w2ZhGwWHdLqdjYdFWe2TN7QPUNb9Cy462W6em+R1RtX/J6rfZgiNBqD6oohxLplXZdWo0xXUYK
4+o6FM7BaUxrj707vEcOqd8NFkHadiawinRFr+9spPSILVVjnLc2Ki42dWPrfCxLhv4mK3cf/qTu
qdUUuVkPmLIOQ7EbVGO4cPre8js+8yM4tfaxZaA2CYA7YrLVlVPHOwmftY9MA0oJCQ7X80BvSyS6
75SKc43QnKSjBKqjLRzMCVWOASDVvaFEA1nHd3ZuDEd+dYNn1vHss/xQGbjRv0/ZFO9Ngh18i9HA
pusyxS0c1pltNKjkWtXtxtSG7agXuMontb0KaeZRJeWnuMgIVWyLdU6Iq14aOzvqEy8ws20Zk4gQ
avJl64w3nWINH/Ea2y8ADpgBpp45TuZLGfeekVMBBbVyK0v9OjQ7IhXK1HekfJ3adObklK5as/ra
tt1zETfPIhGfgKGQBzbsnSlfc4Bg7Jo3+iSfhD14mtNtUZ0cZ/z76H2/yEbPqE5aZ6PC2AsQYi+e
IBujdXoK5F7xRjPTUH4Bfk+N4d4w4y/ZbOq+2abtnilNSKjdfFRzdaeF6smsem/s0/uKXx8LDHp3
2/KDwVwD9N/28nw/Ba0f5iRu1HK90kBLwtYvZDbW8JgVQdNvWZe8x2sDLL43xXPITC4AETfI8SnS
TaBYgXrVZUV7GuvuEKoTFzO8x6ye5FUaWFxluTg43ERyaUESbbwJKKVdaSxtyztp7thWWze9Gl4V
dXXECeIOqnPM++EqcpgIqpVP9mmMwm4ijYxkziQiNLdvyteEzItUSh/KVHmo0nwftykrP3uf9MoV
q1yWr9AVsuxk6IlbZ7U4zJaFfo95qQ0dsk6tbU8YsNMwfYom0PnzuLfLWezquSj28E2/5oIdmBSx
jBEhCQjGpKWb2qk2QYtlfhZSvf79yfsLj6Fiq9hQqdSWZpp//1gwRUIhx8PMgGXVqeoPmSMws4vU
I0EvO3a5NnrWAOyxJHA3r+ZnGsz2qq5T+dae7WxVTtN13yRHeQq81LHu5Knb1JH5UqRJ6FUV5AbC
RsiGEfK6nLmmkY8DFTRad0TESFYqfh3L7rYQ2b5Aqe3dOGk/qfgefZQAZEPI4Byywh1raqydUqVM
IYNioyTNRiWlIiO/uc2tryLLbwCJ7HtohXOb7eseNHZVHm106JtuFAC4RLxVp8igOY1dM4DkFenJ
JuS55LVye62LXnGryNzLkcN9jXwIqIgCXKCZPibxoCOhZsyrCvWsx4Ti1Sb6+ClOT0M1X0RtsktH
Y2NAPPDirN4FReqs2JuxjrXDNcYO3wirYxYChrQK9Rxn4yHrc+TqcGn5KQnXEe26TJpzmmTX2MUZ
NRZD5pmFFLtahUCwaS5jjWozn1kMEIP6UReA4AhBeHSgv8YDF9PEBWoz6E7TegFjIkXKcSkp90ku
vFwjWsPRtyPnkNaWX0vHOsq1PKxCR/oaKCZ6D7VmJYgtKM1y8vCq5SzrjrFlflblbC3LAnYqI1KR
q4qbtCLFtRWetRkvAXD9hXuc2FvYmv2nEmHEAf5Sc8pQP+5+f6n+WNm/lggm8AfY2shtEIu/KxEY
Po64tHIYlX3sacm+Uftvleqftl+UTG9L4kV/jrSYxoGsA/R4yrv2SzOx1JIbG15kJpnG5jnuY+T0
183Iur7J3Nhkn5z4v39X38YAbwrxn151ed9vmr6+SrtK1yTpJIviBjfwIowpbngqfkYRjOUBHI7b
2cadGWi7oYfHPUzgN7NiXACfMe6LZv5cStYx7nSGL3m0zpxR+WJHuuXlcvLRtPPRC1NxsDL93gzS
aa9kmtlzNRWl389W4duVVHtKBVnCKoTY9ZOlfSkLogFZVml+HMdP9FOkO8pm5HECC69DCeQiw77p
9WxmoJ9+ZEKt7vIQPJHovjL83fJQum2bZm22Y7tSjWSrsa9moUSFko1FsRFzL7s1oFSvGQ1kt/F0
rUYFHl2sEbUWmiuwfQcu+pe6HdVVW8W7Rif8cNRvpzm50+V0b3Qli5GFux8HJEMnHdmnZm/s0jk5
sAHyChGonsZojwdMyikr3w0yuZhxkp/saNoUzegPwcwVLPtpF+Z4yyqvTHIbWUdie00WnCr236Fh
bZXSnF1MKjcIESngKum278B0axrx17PVbaQKarjSl49mWJ8aOb+q0UdiCOtWrbIfDBCHg6FtLeZB
XqUoHwsRbacAwu7Q9BeVyTMSJviuafRnu5Z7NyCtqjb0TVjpR2v8d/Lcn17ir+qx311tSyH+5mob
MTwNKhEQp+RYXIYX0ro+1J/IH92Runq0efS4T+q4YhlxKh7Gw++v9cVU9YsbDPMpmD2VKfByA755
cQSSdpESiXCqPGNVHFW3WrO8Vw7SnbUmju/jWXKPd4NP5z488o/sQhzl1T5eBxcak6C/+Gl+bGxe
3SaGJlNeYvCnjTLejeeEPLLLUpLoIpIvKy1bxfJd8zfnsa/39tvXeDf9mJu8l6IITVBZP4cNCa5X
v/9Ef/keLHbbjNZftYc/fqD5ZM4s22oe3tJl7XA/GNSc306o/+n+/f8/Wp3Ob/zP2/dvetLVY/Pl
14pSvviPBp7sQZVUTQASDg2UzHPjj+2G/AHBt4w21FCJCnwrhDA+KNRbNOim893C/X27AWHCpKGw
NY3tB9Lvv6X9fv/cZAZGgaeiW1V5tJna+6dahFymE7l+EeUPc3sxTfdvPpZfNO+/UKw65F2Qk4oX
USVuwnp3lfdBq3eBMfUX/Wz4iHpemG9fZEFyjS32pWsU9oFN7BHxzmNGKnYqz4emTvzewm9sSma5
KYHCFlazlVr5NumjNU7YrxKtO7X7sTcaQhPZ3q3mKDsr5BKkR23oauhdeYv7YQIrHfIhukZU50xq
SzG3q1E2dlPUBi8jJkFNQ0LukaJteTrBW19pi1EywO729Ra0RCOH0ucEFRvaP/2pj+iW6MNCV0+j
+oBa4jUS8GxVloQEtvnsNDiLFHUJPtP18TKZgDJoatmtFah9K9EURHfHD6mqHnmWY5rOxXEMCXTI
inJbFN2M8qsm4j7baHPMk4hdNySPB0nGqIdT6CVPpXM3LTLLfJ7XvW57YdXdWEzUJRmJG1HQqSxt
i6rfd9DwEKuIqymlAZnZ1odzQ654uq8t6zFQ2J13VsLEQPL6NH7sMBuik9KXffMW+sRZmvlyRsz0
UvdtGu7BA2O1No56URteow6nTJs9kwqgqVDMCFRlpe58SuK52xKVc9kETKjbmcCQGH54DSNUSMle
l/Rb2mIsQDNbe23Wb2KtKN2onSK/t+OdgD2GrxrQWJDgxKyX/e2Syq2jdiGbnN8F0pKiG9YRmhoA
Oa6jD3d6qcHLNy7MFlRYN5/TWL+OcvZHfZBvLH04sUfelWLEsJ9Ad+Ypnzvjlsb/yOzixkQTSLuf
3QF8/qQEFoVUvy4bc2/Pxlqamgc8Vri1Omcjae19yZtXRT5tJDF/TTNrEV26TWB4WjodK7oW9vn0
q7pAjN3RYKAHClahaT1wF6zx0N6HAbzwqe2StdT3XDb1iyiTrb1kiWjVQ9/I95Ik37TWAm8OEm+Y
HFc2si9zGlylOXq5SIRH/AHpRiH8Y6VLFlI3x62BzrvILZOVnOdfHCXHjIU1yrfB97ETB3cYx+bs
SRX0ZMO8SRz9c1+1tB8qgumsWu6eZLyRleQg9eC91ZoKySAycVGMXE82Uo1eQA4jqw+Fiqm1vpNV
4Nqhr/pja16EnWr6sWF+kmGiAkkM7C+N00ECx2pSroYKQaGXNwM9ei4kbB00TfHF1MQ45alwPIeP
AiBgFbqNhB42ISfJIz+uAUkgyX4364zqu4B0cxu0PHoU+VCZ8B4iobItbA4Eip4rvWp3RQ8JkuEX
RlS1brdAlRI/jPujCWti1aYVrSG+sWCaUaBP7P2pTyu/7OoS51Wcna1MztIld+YKQXboBkH1ZMzi
UxNoj1ZabznfTgkAdddRJMkTmXQMUlWG3E8USmoak9uhI7gpF33YSiHr5K5Pi+txIL5LVU06Q+o2
NXPB0SNZUnqUHMXBqi0ORIUf2hqvih7qI17aFWfUPoQAmJEohvjHrebumCUSetLoJGfyXdogMgUw
Ojok5BVT+qAngbFq4879f+yd2XLbSLZFvwgVGBPAKwCCpCiRmmXpBSHJEuZ5xtffBXe7ypbdVnTc
136pqAhbBkUAmSfP2Xvt0QoEIzUO0oEemy/VKKnustRr+Ew95repko8+BDeSvUsOj4jB3MhaUsCf
cXOxWOlRUyusLu2VUgtYEjDfphxL8DIaHkveXlWCfhNqzA6zebgTUnUL/McFNdNnXtvQ9pqR1gBu
JGZ8lEX5VKycxymWKNKB7Mw9dgUuR0lfCf2E1r4hXSM1ocEl0bAtsCFsWfqjh6DmCmqf3Ra5FkOL
kO2zHjPxGTLmY8HZzM1Mzdr3iEYdvTRv0fpQdusJgS25ClRx1oPAN9L6VgTzrVUYyxq9TgBJX7a+
0YeKY46T30F1wGkEvJwOaulm/KDTDEb/pYnxN0/WHBP+EI9og/Wog2tecItHPMdW3nhzXj6KodoX
Y+xP5rzp2/Ikz+ZZWs93cpRsBtK+nLKK7vpMvbX62qb5OA37UkoarwwyUnzxRjmVLD9qiBg8bdLr
L70gG6gqoYilEQ+6GffosAPti7oGLgaqMfmInm2EXPL8yQHzNyUiqDlKDdskNllZkQU/1txqnuPk
DZPi2BEzYkwU+mK8Gpv2k0bSR2HAWupyHeYYRFzRxf+lCOjMBYpHVBxz+l+tUO9YlS6tPH9iuWyA
i9rcgDnbDVPlZ1a6a9UI174K2Kk4sFKdM+GlQZ5eRUF/LWp5o0W929tMs8PgrewFHQleAX2h4y2H
z38uYH77DeGwMxWyA3EwfzgSGXlfxp2dFseR5n4438oJp8Hyk1nzN1fyTwcv27R1jWAuHO5wfb9R
vn84+7S4CMCcoBKrwohGv9D3GlIERw6AQibDQHifNHxB1VVeFTQsZ1vej9bIqH6uWKg0aFNJDiVw
6a9QX9g3BbtSX8K+l6Hp6kQnuwZYbMcow2OMqnEKDL5zlfdG5AQXz7axXBtK9pySSqMg298uY+3Q
U2TMAKOVA7D2KjWqv5rvXFYlOOG6rbhlrW0TAnZx8lSUNpGgT6m+ofx8nsyVHE57fTKzixlRvGOa
s7STlTG5wLuPvGzqsQYrtMQiO8GiEYf3Qa/kt/VosH8oaP/zyvDpWHc7Qic2Q8kWp6yeoIRIV/wt
J/pBtH4XhAGKlp0H8nOv+z2ReqyLj5YEu8vEOTMn+mOmNdGmqAraWALEAVbvRaf0mHjNPBCyjOyl
fNd09MNyZTpDS/Gcxmr0ildhK4s6J8M0ulBLtA1aW/v02ejdIYfPhcgYMygO/bHpgND0k0m/8tvn
gRdyBR7QeGW09vN7Ca2ipC1u4MhU1GcNn4K3VEN2FBIQTtbTJxTyKACgqSmCIJ+YVF9W1Au+FVCx
EY1kGAwXHfaHcVEvjNL6oulF5Le5Ufs9Y5M9k90ebzaYNZItLBrher5T2dQ9oqpqz2ok6hEWIjkv
Czc26pswj0EjRW3JbtC3eJHXSAUymfKFsa14ttcp8aCUptvk6p1QZ2pnrJIaZGiBjQapisQQbBRf
EkvgT1O/CpOheDWyDCCHFcV0G9jJuYn6ti61G6J+eEJIWprVG2Mg4TiJbiD9XOemvRVz98Ui6sKh
bpQ3oJ6oBesBSzWGa2t1rWuMNbCQsnMI6VnimXArW3tUNOmLEg21V3eISyJT9odFmhxpKjeK3mxl
OCc2oB2VgQC7kaenNG8sazyYpGWOhLmzzdPjz7pbDRurbU2YrOdnbUReCfWkMMWGROqLlHEEqKpT
CVTbLIQ/ljqZRzH5wgVWJju+wvyU7mdr2ZTtvBFZ4OUVBU0pQs4lvIyDZF8xsXiPTSmA3ya7ep/4
AIWwubWRp5IVpCjiXGCUiDUUNhZctQ2oU3xlVKhpT9ykQgabMjIR7JxQii+NSCcArfTVVDrk7OJI
YHeWkkGFa30c+YW914kWW1HEWTD6Hdt70eQVZNc68TJMs5C1DgvJ3qYNQnpUwhUUwqK7kEKfKJZj
EG4Oi2UXFkxZxvq8sAyq3i6TTlm1Sn0y80wPCb0mV45IJ+LXtAqh0ygDhq7GC6nllJChydbyTdmb
hRuMl8LYmIzyRusIWFwgaNZ3WKAeKlliZiNfCIOJwRTo54xcaAIFQXDoVWLgW0NRiFGl9z8Oi1dR
N+zKGYvgLMxdM1CFmCXeGRObPSlzyidb2y9dK1buH97UbyqiH1ZuNbLnxK7S/kiaPLlaF8RjuROm
nmA8pc0FuJlP2tBrI/vjTvHj9T4cp9UoKjhdsDKU5Ztifh2ma4Jqi/DLqO8+2fh+aXjzmyE90OnF
WSYBGOvO+MNvNrYdGBx5mI6LMoNaiKd2TTK6Ndqw3Ecl6qt0Gg5VBTMDOrNyYa36fZEQVbskEChG
/l2XudS7LltXU6ERTq7191JcnkrZvMko3zj1AExX1yyVySsI1c27+KkApyvBh7sOe9JhjCjqtoCi
D0ZCp1ZTNrMiQ3+Dx1B0mvmAQPSmWrAmoY/utW4fa+phYQxsVPZpTLG9sW2bUnpIVRxqvUT/EnVy
pTzkVbOJs2A/VozvMrg9nZE/L/JsuNkYPtaT3TyoIbpmtdXCT77Vn/st9BU/fKmr8OaHLzUVOgPY
wJqO1vQULS+zdfbnu/bZv/9h45CljBqZhv4xtm6qxHZq7e7PF/ilHvr5FxAfnj8kVKmcquF8NNTL
WAdV0m3kaHb/fJH1W/j4kK9TFkFJqhgEqPz8LU1mO5LGx29hq67avXZjTk1yF0/mJ3dD/fkZX8kH
0AeZ67DV2pSmq4Hpx9sxJ3ExhkulHiljXtnUvNvMDzxpMzix++AUzsNeuMP5y3XsRvfT5jnbzC+8
0e1O2//5F1bXPtvH3/iH1/rbB/3hubBhocLEYxnp/MFDlLKZbvotgnnf3qy0LF/Z8j37eJAd2Yk2
tlcNG/1YvP75Uxi/+xQ/vvIfpmhZ0GaW2vC9f5n26oZ5qm9fms6p1Z3I2z4Y7rnw8q19jPxpxzRq
d0sK3nbase45yxZnQ+vROvNsTzrvd8W2PUXMsZ3Quy+d/ii75Ffv7X15gDd7l/s3f/7oH7hnv75Y
H04yktrGGbN0nkundCq/fav86lbx4Jl6gYdtZ4O84qzcXr6eb/o9YXKTm5xBUj1LjhhR3GCDTOdr
4N7/+VN9U/F+vK0/fKEfoVUA1YfGFHyqaA/0wl12SH5uC3QIbkmmoRM4GI6cbGsd6536RCNt8+fr
//5l/ec9+rDasNRIM9zA6Sgv5cYcx8MipYRIEpTx5+usq8qvv+Y/1/mw6lixpQ3Dks1HampnGF/l
aTeKl1ljLNjRivL/fLXfr3F/X+3jYVIiIlYz6qQ/RtCE5uC6Cq/+fxf4cObTJisTgqCuY2oc1IQ+
oG16f77CJzfGXF/EH153Ka+swpx50UoiE/LUr9QvS299clc++54+LG6tkrXJYCbdcVrvCl4ce0rc
/9/v8eEB68ul7Ys2n48jnv1YAHSdXEzdf77IJ0+X+WFVEkEozTTn2A0mga8OIGzWnTStd02SWpJR
PQ5Y1v98yd/en5UAAntHw6z64ZIWUsygirv+qJNhCQJVi2jybf98jd/enh+u8eGlwVvYSnWkT0cj
0enfX+X5J12Fzy7wYUlc0nwi7KUejjKLNs1o4DOffE3f9sc/vfgfnuMoZugTZDzHnA2c2g3Phl16
wREBRbwbbcITKN5PBrMfjLvfF/q/336x/tY/vDoK/T9QwBF71BcawwWrKn5xBz7bs3K+7AfnEpol
f+AYG2JvHetKcq67zbqrXz7Wl9oZp/bISTZz5+wKN9p+9vF+u5H/WLp8fHLiZpSVgJdOOa0bueS0
20zfF4rrpFvdeyicMwiRh3f5hcNZczcfiNb5ZPVS1+XpTzflw30fpFZEtT1TS3iDR5Tb4qjCsQ+Z
d20fxbm27b1H1Q+cgo6t32yrLaEhn6zQn32Ej0QphKKSDvKpO0qH0iEueHGSr5gGPfPQv027apOf
m1s8yO/ho+ZO2/QUesnbn9+uD/aNX56TjzEa6aDBKil4NBt/8iHQO/Fa1e1T93bYT/s9IcjOciTz
8QHxmZf71da8JLLT6zfIgZ3o6TNtxWp4//Wu/PO6f1QUWBKxzByV+2O90bdiKzJv8hd/OY8PivMa
7gM/da19taOpdz655t0Gvw63qNum/k3srUXCv4uD/43u10fhP4/uL9HPPbe/iu7Xn/o+swfKtiLK
Nf0bzQn9xw8ze8LkGMvDYEKJDtOJ2/xv0b0u/7WO+OEdAC9AKbNq0L7P7OEaMAZfh+0KpCiUZP8V
vODb6/PPG86xhXE9YyM+BdhgC87Cz2sgCrui0CD6n4xs7NJdPNArr606vUhId9IXqGrR8gBAllFe
l21HUoFRmbZOHgVrE3jL5AjGejrdNQBuN1rZXImh3Nq6jCk2dDHJ7LUJdkmPX1Z6LEMC0kI/ssKT
ktjhRRm3lkuPDvibQnR12gqU74xDsxVfNvf0JfXAeoR+CVtEk9CJjd3jUua7UdVoCRrDZTx2FIYI
GPlz+bAMpLmrGnlSMF+huGT3hYQ3LW/kt7hq32lgfrXQUJFcS3BWo043uTWNbjrpj+MsPTSLDuiW
1FY6ixZUHvtYiHk+SMRbAEImA6xg6ZmYpJoGSewoi99B1er8xfa1GRTGS2TiJmq8Gv4wOOVRg1+/
1F7l9IsxX0Yt8kf47+RFNTuR2JEXmF3jjfBkdNdI5SnHco3Qy6s0xstNq3X2sxLr9JniqcmJGh/I
wl15i8ji6g0zvN7pVhojfGQMNd8IjaqFhHKlNmoqfn5XrCzHeaU6Et8L33HJmqthZT72FfTHauVA
qqD4nHZlQ0YrJTJfeZF5Lb6UK0ESXTXcppUqWZbkhXcraRK5QL4JVvqkWDmUPJu6A59P9hJ6ptFK
qyTpkn5VqscXwcqyHO2+PYtC0t+mBtJloWd969Ur/1KKtGCrpP27urIx66ju3XrlZdJrfRnQ/WFN
txHnrlRNnKAJOe+QNnHUvtkre7MHlk8vnke1AcyZrYRO0jWyS0sL0w0Sb/id0hxvbIWoC32le6ZD
a2ytqH7LV/KnsRou6pUGaq5cUL45NpWVFWqtvUV15YcGss53szJFi5UuSp0AaFRZmaP5Sh+t5oLR
XBsjGVxbxcRWNYdx5ZWGI9ZJOyJTt1qN+1Unsg03T2cIYrwz0UAWAfxUAZi/BZUMEFVe2ai0/UgG
tyz9Rc4hHERBHjnjSlMN84ZkgEofwEKssFU6k8JLih4C68pibRJVhtQEDWETfYO1Tiu31R6MJnnP
CMSiR6uoV6VCjxfLTUt0xyI3B5qnCCCm2wy2k0c1jEROs1NSqev7WSJxUF4CeskIUjZtNLnG0D5K
Yf2QletEwCKWK8rBFg45x85EhmBrzsm9UpSXCePhp9leUMJHYXQ+95aFZLdD5wgypOjo8qL+dsvC
rPeEBr4R0P0E39sfQytyJ1t6H5OuRSgSP2roOzI9+zIByN1qrcSgNm/WRcS+4KtgYIsVmPdUWkHR
XW7d4jm4rJXoDNyG6RQNVDpZf1WF/TBkEoiFZrrslsbaW02z45Bx0y72HdJxgHUdIIC6J/RvpbDF
QTxvNRVUXFJMOl3i4jCCn26s6DqUiYMwQ1D/PUOrgyEvZConK8dX3cVldJaawcnSaERPKI9mwAW8
KeBaCh42Z46zAvKWHb8kVlE8ibRDKqMNMS6JfoVS2fqZIJ/U0RlvIJlBc9EytMhlMhuFVl+Wo3Qj
2nbcJqSrnIUFNedUIr1L59HiI4GQm6VO+NXEmhSUY3iVgwhlhN9KV5Dr0PzI5Gc260W7FbkJD87e
yshcr7OwqTxLbSlkGMZt20TgrTAme1vpygxXL7J4tcOMFcacwVnNySZoY82LwYNs7CURYLuMd0Yz
i5fqy37ukpNc1IdcS86Nfso3TDTUrQZEa6PJFQWJvgb7mIYMnixQPCLqwaeIyVglqU4cQU0J4ljd
qtrEUp/waaOct1YdEUVlBf5fKPJMFytWKXlFa4602q4M5uy7aLX09okitlICeDjJCVSsCaYAWgNW
mGXq39rt/5U6CpXJfy51Lp6/vv0OeLn+1PdSR1nliSpIS4XyZGUi/VDqyH+RMIXDEF/ZWm7wR9/9
heZfJo4/1jYE8Yz2f+R5i7/Mlc+E/5TuLWa9/4rTpH/rJ/9U6lg60wcG8CRxmZQAHzoMjLDnVu2U
8BTYOaa7nBFTSyBSNjdHfOgPVSo51dTZ3hLPZyaRHdsiDzEY9IyblTddGmp3tA302yO7jZkdJsKt
nMVOCHQd4H5L0tWqKne6khBFK8/uZZulnPfN3uhx9ar0VeJ1FiepHte9MjyKLH9XknRjqKjscag+
CTvzJCxO9xgO5F2BxyTMx8A1A2Pw+Ngl81b0tzEUvFBRH2GjFV4dw/xuNR2SNIN+f+qC92Fs32Dg
EmsPXWljlaAh8YLdlGkEZLNgNDHeS3NNvqkIBzZNfGepBDBSSIbXi4hvwI7ITzDLF8tIXpFOHXND
Fkxc+RX7hkKgrZRLKdPQVlG/VcshIWRgmzSGjK9PvTSS5FIutMmJ42xVEXWTm1F2boVeDYy0xteg
TRAEKX2MPoWCZYkMcrrl5HYY5ksyupnsyWR8tVpmnhNHe9PmjDZz5aotxsZPMh2qp70cosw+i7rp
UJWR7Jr09x29G/ahgnggLNE9oR0rnbI3JF+iwvTsSF7u2rQENYeoatOjVgTS1GlnlgqJz06nr4DP
UUoNEfTJQobckycWi5clbapQOxe1sq91qwIcEwRXs1SQ/EpQrT+HaP7tLCdsUoqFW/RFdFUKQJdr
kGlsYrWpn2ZYvts21FbOe4SFLjRj3Eq6b5L2DX0Y3rooAqALNemtZgGSMsxfOzui3WDiLiNXJ99k
BRL+KQ+eMhOuI6v2RYzCw+MfndnUYQPExeTJC5VioMBXLUR7pqr1Nfa0yDMBfXnJZPBA9uS6y62u
7RpUh27YL69IBEF5tj1CBEnPnCQtbLcPSnMXJyqH/dm6YK23PWsSb001ANO0lWMxQmjUOh5lnGeT
Fw5x5lch7llFEjdUsE+DmTKlxunltJaZ7bp2IiM2HG+kOWj3Ad40aKMFtQ0R8dDMYDD0A4+xbV4G
MmitWs/0nZQbj3aivuDJ2prSxOxsai+knClhKFmEwI6Ft0T1y2zrMzcf5ZtXtLa4gurV6WekTSgG
NiIDX93UzLmjjW9QWh+mkHdeTS0kWsgWwLFN/qx12qU55o9jUTFusCB2Bm3XY4qY7ydcgfi3wAYh
OyM5yU49RuGzm6blg1X243bMCLOP4cAGQEcdJQrFoakprGsr4uhiFLdLGZwaAUh1sluvL4v3uKtv
VC3aF6p1GCx0Nl1yWJZoq2LviyQEeQmksXJmi6NKRlfR6NdyKQbql5p8k0k5WBoDbSxrexKLVYYM
fHA73LWjfqBMfRed6bcpXczSBGoR5PMZuJRndbWi1EpnOPXUjSA0BnGGsNa3pnAKehf4ZPdQhPVQ
+lNU6YsbSU15oyHMuC+nacQ/qaINFXI7NDsttoynMC2Ns66tsvAyC7PQ2ne1pD8FoVCDi8QAdpfb
aeeREfOg4J/cGJPKoxFQRgQ8Lzu9ZBA7JrSPR567jVFhTVyFqr3eI/XNVQcz8y4Sy6pZALE0xmHh
2GVwZS3LaSr6jn7wsrgA9i4zBpN3PcGKm7yKWZ7STN30YfIeNuZVAz54J42GP8dttSNDPHMRVV/j
RMX1ONzXRrn4vMVbK2juFxv5UC0vl7YeH/qUsW1Vyc/KqvUui5FAsPxaGZXM7bqgXQmkMc9acJpT
WXXnjqx0iXRNpGOjku6LUkUbqhXPZjlwElb7xmVccx6nyYtqjawG08tkqn5RE3SzWKhHdZ33MONw
wVz5Vp7OC9zNebqzwKMVC8jWeCsN1ilUjNgf5uRdaBHpoB22P41I4izeKNhKHMVCbJINNSSzfLzJ
F21CZ83q1+R56BcaEtx5pjPFwRRkOVjzWc+32iArbj6iaVdFfR0nBrkSjXkeVJSbrRy7HK7wxMOF
qyP1qCNU9YxQ8lFMkO9tFvepKC/LvD5KIijcUhYPiTW8JqOItuOUHcZqQqg7dYeAnHGjZiBexafZ
KHOmr+KsCgIYZUnlx+jOqtZ6gjkQbzUZEo2QSoS08A4LLUZkz4m7mJnHG+aNaYNvBfL6Jga78ceF
xVYDJJvkgEkB+wn+4uRDojnTOwt9cQyYOW7MPbH3rM8QBdMBNaQU32RB/lz3yE85D6fdfD6U0n2q
catli9iGvuxYbgY/V8K3xLZ3BjiaUuJPg8p674bka9Uqh1yN/tW6/189uTrC/lRPkmn/a+ds/aHv
5aS6Yj8Ri2DFBFrxDZL+t9sF7CcmE1UYJPaqypqh/L2ctP6ilQayS7dkxvDfmmrfO2fmX5ai2zoc
C3yXKDCV/6ZzBsPzpy4snbPVUYOsRdXXT8E/+HPnzIKIIYQkLydsH/e1Rr2TYahc1WzYT5bct2qx
VXiIjFlyUd/fcx7n+NKTYZXb4jax9Aut7PY5FCXCtuEOmWYO7DDGA36XlTYBhap8FUpFs+9YCG2v
oOvzoqIMJ61F0YbogAop53heyAEwXwwYWAGgLvVJfyVDD6TLJW7GdHUUDvPJNkgvRDrjVdGSsheU
t/Ms3ZdGcadREjmyyposN9QX0nyKYutMMTVvjuhsLRqg3GJ0wkS+rhL1kmXhXh3awos63qygW73J
TUrdULzP4NudCEVXoEM/VBscHYY6nfDlPNcZxYKBascju/QrCvLF62RE/PZkbUK5G10qOcVPyZPk
jC3p836cQH0jMjsovXnSUt5qJTosvekSLmHCiYxw8qvDoRmqh0i2HyUdd4CVaVdp2W5Q4NynMWl5
TbLcdQ1C9V6pjkowsleU76qsYIiMr236YOiI8vMqzPdKPt+nbX+QyuGds/7sydKM0I7BIKjIYXAk
Ke0cDXJ33RLApUXClWbafYGKj9LAbHhSScEhM6XGNNuhg43K0e1sFH9lgnY1p9GzQWq4EGBW0ZmT
zVfMF2eFBhq0C5AjtRN8B0tlxdJ2fd+cgoxQVo1WH/GQTV2RziP6fNsBc0sdI8v3Wte4bWtcdBOy
S61UVZcGoa/LwUuKNSjNJsnRewq/YnoOBe4Z/k23zGyQAZyOxwjIY6RJzzIQehdRG2trigUeuCsB
vdYFUF3sHnLb+/DXxHk2arsqKZobXE76Ue1yYI1qCAPDtBNvafr1BL64rch0tiHTQ4itbGnIdoiv
a3HswaWYkr5HbHoPRmYn9+r9OICYRpsse0i2FByXanJeFSXlHXFdm8igzRoMieQUU6K7mi4F21lR
5GM1aepVjK5yF6cDHWZkgWN4lqe0pqdafcZ8aYAFneOTqamja5N9OVvg+zvA9ApNGNcYi5e5RcI4
xF/KUCIYtEs3YcT9TLI5O8HtoxOSfzKY/TD8NWQ4eTDLhEIcy5rA8uHIWWnTkGaSrZyy/C7VvxqG
96ld/TeXQAkm6NyzRso48H5ehuYqnFpy8/RT2r706eVc3Rb2v6a//9ujVpHNn/eoqmyff92m1p/7
vk3R9dBkKNNr7KKpk0f7U9eDxHXtX9sXGut/dimIkzKmXyTZOo7JlZz093zHJN9MY0tjJqQzm6FL
8Z0vdfmvZgZoqv9ow9aUnye47FKML/FM0JUBF78+IT8/HglGKNVc1OiUy6BYLyK1M54mRY6svdEU
RXhZUimfLX0tnkSkM5ywpQL+8DhJ42OzmO29HenljW3HxoK+th9LXyvM7qHVejw8K6B9I6IE+m0s
3U8qi88ULjouGOD76iQuLdJLccqc+oHQ+Wx+RiD3rEaBzpt2LVqLYYKQt2pGKoQ6c25XUrGZhgDZ
cHOGB55ogBb7VNgMrRvK83Na41eqRyYeIFVaTO+FDtnEQowiLD8rBlTYhUmbuUeNHDag6kkprHJx
rQ8ovmOheKkGwyNAhQps3rMH9qWivqk09YmwC80pmaX4RZEgZ1eXZWvFdu5CHILjoRvXiTDPB6sF
iUhcuCiy87wpD32UclwMVMvTW5N04CaEWzxWFkar9Hqoq7taX6oLrRkQuxcU682Kj27yGd+ojmuy
yYA7dxrYoakIs/OC4cpiVl+IAxqQu8rIp+XmbWmbGb7v2hdt+x0ynK0MwlLhlFWZZsJBxnZ1HU0y
TTSfEhYqc8J3QJN0dMPBMnZxwf/pw9Qj0i7viyj9Sjl9ZemRZ1XZq5JGt6LsmGB0iX4eGMEeMvJV
XNEgGgysH9DJcR0SRBsiY2EPwQ8pxK3ekBwOseCrKIvDApCpmi2EaLLFyaUwTYduQeKU4XQoUGl3
8giauiy2WYxOXtX7xe2UgRFOcZ+IFv6IwP7EiWuDR+OmwDTkSiNVQCRbvl6bw7FfmznIcyBONvq+
S0V+DzhpoqndY69jLzO06FgsPWWNJNOXmvu7Zk5egmGENBA1vWPosm821oNQrS8mQ0mVgiTL0flM
68eQh2tptvw6WE5ZGnOmV307uORhLY/60J9ndnq5zOIpFvQPCsy8fkMei6NzzN3L1XzoBI+dYiTn
pUpmzZoaE0nWg2TSSesMkhKUZApcqYn9dEyPRpWfNLs56La4HFp6Gd3AkC40dZ9QgicdM2BkqHd5
R1CnKM2zahCnOR419n9KExs4zlBTPAbtLXzrFyFNF43o39Qgv207c6+Y4jwZUmUvR6bAQmgzTCm5
D2Szfc2UkVdsIZjOmjIwx4U48csLpxujL3UDZ16R85MaKJcAIfzaTl8kKXCt0pYdsjoBd2v5ZdeX
Fkczys68Kx4iAQSAbVNFbVRkBynrK3zRWE0DWQiXfJNnku6YGs7ZldIGXzKpnF2ijUguBBBjW8t5
VnQXvYJJsmf6KvJnqsmzxeCio3qVMKPNAnsfVd2pzeStruk7rcpSPw6yi57ankGiVfhzWni6uqZk
K4xZjAhjcacdYqUprgAlBu3ZNCgr+qgY8PNhMbbtGhZVYj30OfEWYZljra7hAPl1JiMNb/n0YVGS
uTXp6uU062cQD5RjxIvlcs+NU2FSmRgDUEl6LdPDUhfhdaMo2SGBLbrt+Ao2YyZlO8WUZqcCgUY+
ChNW2RlEF+06ibEWkzEuPVey4ksJMNhvu9P/tmkVZcQftum34mv5Ghe/QUOvP/h9n+Y4STIdPij4
CLzq65zh7+Okvg4uLEL1CBuGnIza4h8hhkxNxQGP8hFAwioh+36ctP5i+9ZkmNLMO/6bTdoQ/Cs/
CnooEw0NsANHRk60pv0RCGSSk2AR2imdFClz+45VU9aXt2CMQic1yN/tNVDOSkIiTphnWzmummu7
yaUr1RwkpmMmQ9XrkA6nRa7BrHl9qzQPNDTN+dWQWDcFA2VCUECyJ/WKaVethXijkf+jdtialrwG
JINzn7qYwW4l2X6jqF+KKpVfwxr8e61ipiwjkPBjD5x+WDHxXcnf1UzQ8RhomycyqMDJr2D5JRqM
s7Ewz5Kk0cgWavZGxJm1hUffq/0LGTm8ESuqngMJgZ7rYQOK/bzi7HPT2LBADEdrRd3nTRJuyC8j
zWUme2FekfhNCu2mtAgynu10Y7FRO+qK0F/Ah6kQdi+TtmC9nDusSRbIfUV5iBk9QqZPj3EdRh4n
+qtk6QpQCsrFLFO6WCyNIwOaljgkYXFE17uMKKoV92+u4P/OHOOzwsSLbayxALRY5U37LSugWcUX
1hogMFTwALkt0klf4wWM0AbeCEygi/Wzeo0gSIdyulpYtrcFZoSriaQCjL3Rzl7DCwIWGpK8liX2
2QII0XC1IiMKZE08aNbsg+VbDMI0AWmgq044QhJFjNntogpuMEdW2yFZg9N4sIt90QwDixmxBYGQ
rItYH+FtdXZwAWW5tYoLpe6DK6WPHrPIMJyoEM8hdFY4uXRQ6Z48pkoXboKueqfMyN1OCs+zIMod
K5lPGR15N5rz92gxPOBJ3Qnax+zmEEuIN7NS1y4wLkmD2DdDbZ4RAaW4jNZvomTVDeb5Vo/4j93Q
Ep4MJMr6vOY34lAe+QCd2gPLboZR1S8Go5LOZs0krIJs1kvDaGm1NrSyZYzkhuaqYCS8Ksm686a2
mUvxoJ0IKBV+UxtAv3UWcamE9tGMqoMsot9qUfa0nk47mZP2TKjG2TjlmkPet+IbaIyOxLD4Um5/
VaX2XCT5Vdn3d4GkXbSVib1RlarjjCFgr65BjGG57CSDUz4pWBkm3iAg+eitk6ZDnIFJ083zOSrt
jZlE23rCnUe7md/5ZM0FZlTQKIN0MJT4PEcGBQ3ZCC4Ki/lDLirN76PwJpqncF9H2b5JUMDW3CQr
ohYYyceSEhgQDDGew37kDRTxaRrKVZnEZix1Q+6imcHGme3tztggd3jOG0JhYQiSkfAuzJilJfep
6v0qrV154DAcqrR1OCFHVbI3B/1gj5M7AvJ2og5aFv3cOyuTTxRtd2KQLR5SuxSMT8laD6zlnYy6
a2Pp92ZveVqeb0Q3aa4cTQdMmi5e4+dIaFvRYKoMw4ogduuyhWRglepXO+UdzjPtrbPna12aMIPU
1cVcL76U6m7FPQbzRvIJbDx4doisZOgSQf5KLO3tuD6PSprsIQVcLuV0yi166Am6x6kkWq10WUgp
LAxk0MV0nOvZVSEfFkHvSRYFyCJtKRZ3JmixvEp24v/YO5PluJE0675L71HmmIFFbwIxB+fgqA2M
pCjMcMAx4+n7QPlnlsTMTln2v61VWSVFhSICgLt/995zGxql7IUYaCTvjkcsWav2GmUkWQyTo5LX
JUaeTSnkDqswfLYuujFaujH6aD8Kb11I7QLtcktVGbNlg3q9Mai5RQzLCEgIrplGBmGbf6j8Q5I4
H1tioZ7YT2iqyVA+26hXzWyusfpBFlbk0Yxr9NJzg6eDYwuD9/HOGv37PKWS3c/pxpCD2BUWvJLQ
5woMtRVD0K3nF98m6Ew84baIu0ETe2vHo7UlauIDY6Y9hJNnobdssbyz41TPXtzcRT2Q4+JrCaK4
FgL2KW4V10y2iUPmJZwWDvomFlMQmfEt2edL2Zt3bDYxL7UrQ4mVGNjpC7HX/H7vNRpFYfk5teVF
a+sPHG1ISfrNyrGrJXB+akS35Va8anxvq5vNEcshL1hvYI8QciybtazhrHCAfR86+cxfhZodMoNs
rIo8ZlxTGj8EUzm8NmXDrEw75a08zJoLuBbLVq8yMussEnEVUowYT8y8HHdntP0T3IkvLY1CU+Ue
MCJsqphmH9mqPRnTA747jma2D+mxfx6UeJIqvaPcAHFmZLfZ8dn5G5y2e7e1uTrdHZS1W+r2ThV0
xl7rzjRd7r0xvA7N+QB44tiH+mUsIXSUXbIt8ummChedA0rD4N2myr8w9fGlwrA7KUaHhu89hMq5
bVRzXTb2Hf04YuXpzbljUNRXqItq5txm5xc0qh0ZqInVgOyulgfVLJ+nrD0Zyt5VFRl9hqipiXV+
WDY9JepL+aCq6Ygt8aQZVnythYwH6S3Pzw09zsFstEeFfj0PAyPLjIUn/YqI+ZC2BQIJiMmV77Yv
tA1wYgOkIrHQJfpXp2As19bPmYoPwtCved7Sl70wZIbmZM8Lni53s2AW+ktsN9XWN7P7QsH4r8ds
l5n6TZpBUsl8RpqgmLZ40vZh5gSDoRWbBExQD33ZjYYo0CdjneUQLePyBi12l4bjcSynr5UGrbdJ
X1sMWRXrH3dAg3Tdu5uuizYq1soAxRh1pwuKnEWCiqt9r3kUYAABSMQOK+I2EeOGcSPPnwbxLhrn
7YjXa2oJebZUDqBiAumpgrLhfJZkgRYP2rGkYrASyFHAQZQuD7nWXs6MSBpVvXfeAh9t/CDMx8ve
YtZaCJa/H7a0/2+w8yO5+s9TPptQquEgjy88u8+WbwomlOqSUrsWBfp8tpLZnYbO9fcvwj73T9vQ
JSapCxM4k2l8mlZiLREO7h7tegS7g8bdvYwUBJrUWv4qevxXG94fX2n5l/yQvJChnPQ55JUM7yq2
OC65+maeD9J5TLsviXT+Wbbo+/7a5G4igcxhEN3o55czkOy9MJfRTa99abtTHb2X+fvff3Z/9Y7Y
LbNZ5mVM67O5KIRDIPypim96iyDRrqNIN8cFWkS7BFnEaK/+/uX+4nqgsZdDC4NlpnrOIk798AEu
Ng9jEm1yk2BEJcS/6ii8zn7xnj6lfpaP7acX+ZSPaUKttZ2QF0mZprXqYvEt//+9jeVt/vg22pkR
CKT8G2wtFKgGmbynr/IXL8IE9vNl/dPb+PTtV9mUVX3RJDejRtGoHfjJjQUPzHdfbIZ7zbWBKfmf
vy3sVcLAC05I2vw0k88SD+B/qic3bn1bC2BM+cENv/3z1wAi41AWzXVA/cvPH11om5rj9Sq9gd2x
KRzqwWQw5A9//yJ/9dGZcB+ZHuumC3Tv5xeRQ+y6STKmfD8vpXMRc1JMeRj44TntThZ+lyG8/ftX
XK6pf5v0vO/X3I+v+OnLgkILtVqfsJGhYvXNE92Ov3gYfEqa2UjDtu5aUMcZiDvcr58ePo204iwe
9eImvUBcPbB4XoK12di38Z0dlBvarX+ZYlo+p797V59eEoNgMbZVn970DphaZo8GCQdD7v8vnx2D
fsHKScvUp2/LmSkUb2Hx3oS1Hxg4hrz2F5/d8ul/fh/YO7nafEQnlLSfr4eqMRJMlFp643L0pTiE
3eaXBKd8lKa/eC9/9Yn9+EqfHnCciKVipJne6PZH7N3a4bmef/F4++uXsB2sBdReUJr185tJ9Kz3
rDnKbsryGtMyhDFjZXTOLxbVv7qFuNj+eJVPXz2MtbidIl4lyd5zDRy3tlEWXLEuyNobLdvl9i++
oz+9LUNYLhZ3gYiE4eFzosfwQ7cqXDqh235Xqy+Ds6nnu394oX16CWZpPz626aXhA43r/GaYy5Wu
ReuJdqX/y0sslmDBhoc5288vkY5joeWctG6a/F2bD4gEv3iBP13KvAfUN8RZm8EbdN6fX4BHJ2Sn
koQx+7yiw9ebHhIKJUr/4/sb+c9Udklq/t1UVr1/fP0L6ZTf+mMkSzYOZqxtUwdACtflR3+MZPV/
GRaKKkCc78E57prfHT602LATxinuA5nzv/uCfh/JYhhHb3eRO000FMLW/2Qsi8ucS+DfT7vv2qnr
sGP0kO4NVL5P16CpGcxC6iy71oXVKrrXk4oIV19YGibQzMVQ4qDmBV2d1re6m607ul9AMe/JhIow
3ZWLU3gZQbXeI1OdalUl/b1uWuokRsiUz+FiHnRaulonNq5B8d1ZuMDz0qLdV4YNCR7/ocym61HL
e/YrxmvIhRzYKjtVeBZLZ4RojotxxM1YLbbGzhsfcXh/dSr3rjIlf4E5V/totPHAeOSnGv+2xSXZ
S2VsirRghqRjoawI/j2EuCpJJSHOiYneilG/9nBeDkUK7XwxY0aLLXNU3r53KmJi2bAPHePFWiyc
g5w6MjRYiCQR8Q2biXRfmQUtKMr1EKFCXJp1/Nxldbsu7SrbRRnax7yoIOaih3TfpZFhUUkwmXAE
rr+LJ8aio4yLohLHgsTLorI0i95C13J05y4ajLOoMXLRZZpFoUkWrSbSUW0m5Jt60XHiRdEpF23H
qUGoq0Xvib9LP/2iAhnIQeGiC5WLQkSRLZm5RTXCWYOAlC5aUrioSl6lFiykPzUR/4ayTo6Wqzn6
wc+YLG+NIaN32c30N702rXUHH8itKaOL+w50rIfvH59OTPPrCsjWVtjFrUUD6hCMk6QSWWUfhAye
6ia7kAL3eeEOuxxzaeDa9qXytcuGCpZVXCRru8rvxrg8VoZ6MbTsIh2o0qmN4t6M4mHTxt67hYfT
iNwrokfYZePWzbDkT4mxMc3epM3XjtP5UrdFuRLE+7IqxUpp9SFT7fjQFQtQNmTqMDqGtynm6H0e
eeyGhHU4bDMhlYu+aftlzLjXfmfyTIs6iPxgNEBkmfG46fR27RbTQzS2IyDk0mZOBnd0mhjdE4u8
ap2hWHvCxp8LBw7fZYS/mj9JXfAqZtTicoAKMrGEMmyfEPNs9bspTki/j+LKtQcQ+goz+1TRBiNE
e3KSsQ+YwhowmBptJQrjizMCBQ4neR7ckSHGNHAuLxt3VZMO8rEwr1CAwMu47kcRRl9ziX2Auyto
U2L8KRubDlQx1wDDcIHdrGsmmGI6U18GFv7W49IXuhWtS6Faarbtlq2cxkAYa3XqyuxYNq28/8/6
8b30deEd/M36QUEI+7nfatIOX//7v+hWN21cn/9ePnDeUL3HsX55NCPe8aMflg+Mo6A2Des34e6P
5cPS+SWXcLVts4ld4tO/C3r8BOcNxSdQOoT3PY/9yWnzd86bhbj+8+IBht1zHZ+EJX/Xb01kPxxt
a1ljR47T+KbumHzv62zArmy71zrxVy73SAs1sjcVsoVaddUsfAI0RJ25bcZWbT1R6O15ADjsfxu8
Zk/o1AxfqQJK4aENZa6dUCub8KgjruibiKKF6MbKyoTgaG3FSylrZ4zsaWd7JnSZN35I6JaECWTg
fnIIN/BU8xnoq6lzCb+qpI73hOXYC+Wpra3MkYqtfR0pPyVJ17AG1EOuriOiCYwayCi7m8gjnrDK
PIfwSdtpHzaGut1/Lv3vV7HNxfK/X/r3WKNpGPzzxb/82h97JwNEgMPDZvH9YXBi+/rHxW/+yyGG
Z9rLqYPr+3ctW/8XwyJObTrdrybfLkfv3zdO3EkcGYjacRtRw0fF7D+49F3x52sfJZ3CQMPnf5ZE
4M97a43lx6nrprgp9cqyLpvv2t7UJQKhj4sH1W8c+95b5W71XvdoYpIgDLuYM25PImDu29QP8abq
IvTPYltXVK7QTJOvO8u9Eq1eB1pK557EqUHo1YdEHk3x1qicDgEgusK8gg+XY1eQhvK6oSlGc+hR
sf3hq1VpchPLBuQv5jGSeqfRWpCspPg0lk4lpL2WsUnbEsaeNXHpHOuR+qpJZHPVqbceYyv44WnH
CfxNG/VtPLSoJmO0d90WF1IGbB3wMr3xwwv5sYccB0yQZvrZtNvnyLONHQZqj2J207mOOOJuGFy1
K0gHagMZ8dUlj75rIJWuPBrSScReSwsrVjwbZ6G79Sruklv082Mh7A+rJcmhEERIrljUh4E814LR
M04A0/nT/r4Q6rkzk4McO2eNMvssG+fZT9/MQa6FZb43vv+ujOZazcmTLcf3zPKKNYWn8xpj+43G
P5aaj2FfxCSg0pYG11nrIlw3yZkg8FVXaVezWYcBDmdkL4OsMWmP4pACAV3ZOpayQVg3i056qhfO
gK1h3I6IMaWxE+0AGDiAQ3MMzp3A2TY+YPU7UqdDD6Db0qLTA6D3i+sKPjBs75qu3Ko0dlM77Lw+
lWuVgKmvptzbZW6s1qko+o3Th+PG7oyFpM5P3cnYq2h4DD13myfdjSO6a0GoJ9A0v94pq2TbQitD
lGUHw44A+ba0y1nDPJF3UodCozJQGZiPudHCYJD9iUzpFbq7wZ9Ub6mm7pzevhkicYhSdwwcI91Z
qcS9hcFJpyQhm52HlpC4KKLHRrYfTAu1IJvZytkdFqa+phLQ6+bnMq2rdWRUR47tT1rHLDJvhgfN
R4LgV/PNnGv1xuyz86RBw2Voj09Sl9+KRiuCRFaX1uRfZxa+hXYawVzLgchZP2xGb5TXpNsi7hXl
oeAkCJKZvx9aEPmZqcbXNiTGJ5oqXJuKzZOZpU8dKOM8eYC2m3MFJnQf6jVdFn0XeC27Z3Y3wJAG
Ve1H3QgDU4rTBH/VKrV5XaSkw1mGbimhBuBe1jPpw+IqKY2SjmZoW4lpqgB76CLTvmZjLZZr7WyZ
R236loma3olI3Um32ZjTmK5j1FfPko/Ccb8x6EhRCKxvahYvfuNfiCG/qqbpbFABv7IbLd44E3jA
qajv4q55zemTIup2oPHuaHU+qHydvj6uvXTlNRaJ/umb0agvkdadBtnewvq7JN+Dvaxs13M2Xpo+
BDJdkMxiL8jxrcvEqvPjnq6l9lulkRvOx8FY56P7SgXZF5dH9KqRcIkNOdZUpHnOsSUwDxpC84I8
tZ556nL+mBSk2dx5b8G+gHsGLMwD+dRoasSM03XbeO6PbWj2GBSjOyceX9PEjlaVlVnbtm5ysqj4
5hsLtB/T3joGLN/G47m1QWeMabnJx3hY1zCnN2VpK246yS3hOZc5Z56NHMMrmZsLuzQECaRFZ7bj
WFD8M7WSe3MkwemUPmm8Kb8Lq+oqon99G7Ve/qwGTKrhQFElJugFXMyNbadPGNLxFfVDtuWxagWR
Eb+NJfuBziKtNpRHHuh3kyX7fc3kc80CcFtZ4DqSRdhkGLCLRcJOpDEtqBDM/L3yGIeOFWR1fkHJ
5W1iWyWHM1gikLLxNyl9g0WW3+37s+1QAzeX3Vsj8er6lcITURpx4KS1FrAT+uZbOutFrJKd5xPK
nuSbY3Jv1zmnUavwNIRn2rxo9CyvBPyFlZL1s+4VYdB6E5r6NDq4g3BHxR5ZEckz265KQc5WEGpo
5VvnJ0+y4kIaQkyIbUT8k698xXKngsEECd6OItoyueAz7RPnYJrD3o8sqspjK+OmoZi8s/oHROrb
gTWRo4cn+WCalN2hHeE/mLjcvGWckPLfvLxPLiptHuAspJe0nUt4wC7mXjEMKy1zHmwq1xXSqC3t
mzSqPkadv66x0md2eclqUNrSuVdekFCoOULNl6z/EIzdckm1H9q8wnQwGd0mYzv3TE4nPzRz/YA7
CpRzaT5pk3XdJu3Xoc7xxaYPLPbilDjsCFn/D00SXbtJfe/P2d7UkLld0iCUbchuNVlMCGxiiSV2
Z9lbBE/UEmR33feEcA8tHmT+ahLk20l6d3pY1Bt7oUyXFMxsqorTYZ934UGo6dUBAMb32RvUDnr3
YwmExQu1YxJFrwrme5SBURnTaidrye+71Q0xU32FezXa0DryXqUjSPc2ebEERJW0dm5E5zxKy9mF
VT7u58j8lgo2tGavY/UxoLx7I4hzx82B7FA8uhKIlRvknHalJxMc3Fl/cZr+yrfwC88VX6zSeGrH
E1Ci1J0GkozpqyiNy4zeByxgIRWdfUV/Ys5H3Soq6Syc86adBp3I9mlERh7oJetda+BhNpZQJS2A
G9qcUOSxTNdepLa9bopAFn2/llgyZMbcddKcJ5of9VUUhXZQ1Np9rIYH5dPpUyZ+IIf8AiOgjX0b
GSBqJAwYKz63jltvwrw9dBHUnEL4D1bZ4XfmnGw27ZKR0kDxONxPZt9ux0jL10ZWHjR2TtyQqUCs
b97ITN2MQJkjPi2WkHRfO8CU5zr5GDh6aJXzzRHavWZ6LAKF2weZn31zqQxcG7nx3k/q5LOSE8K2
3xvYQLXXqXUZ6UeireXan1FQRyd7ioqiCaiOMQKvA+5NA20UvjEyuGBjAJ/F0uRK79JjZSs6Nbs0
vaKk8BDWip952Uuk2bgDhvRex3W/qjrtziV2hw1NHix/eBoXupQTz9WqxWexqeniDCa7wxSQ1bwd
bHwYAxVJammdvFqSZJhoLXbx1nDffXMMuDdcM+Mmysyt6LvnqufWjZV+m0clvMLJvDSdpN2UNimG
LqvOTsJ3ZLs6ubx45DmtysvRUiWxVTLrXvtOgWYT6En7VI8Y/opOPHBuO45Tfm9YNEYNFO9IV7yB
RuXiH/A4+vgSqYDtLqpGbUsxeisxNS2PQ4isrZN++OyNSXrRHjWWH3OhjpR64l1T88EwyuckZSjl
pg9VX2VBwy7PzXj0xTVXZuxD3ZF0lqzJyu7EqL45MVs6V44vZsGer0/1IMnTZ0DrB7jp6zgrX0Mv
e0vbjhBVfSwSWP0R1PWwp7oIXs4e4wxjK30z2vRehLU8jw3d2JZ/8G1tXSNXQdIPJoSl1WTGmxja
F+yqCzXKQ5dUi5GrN45Nqk8UM7tGdpuXs/M8ycQBdavZPf/BRlqjt9oJOhvj4H/OoL9NUjiU/e9n
0Ev5l35qfuf3Ayht8lhEmDfbBiY2pg3/PoAymHE4fArsQQ5H1AUE8/vwHtO0TkCXuQyiCyld5vq/
n0HdpYyO3lNgL0z2BZmof3AGNX2mPz/PXzyiTw7ebIvYKEr88vMf5i/NjITYsdW+isxyvqiRCyoW
Ihhg1lobo5586BzC/F9pBnChtdeGrsQQXMAl6JL0uwFS5JfecmbF7hbxGhGdBZNmYWfrGN9uIuq6
sRHPg50zAm8xBj4NHZSK9SwiblkeFppfHRpL6dUKIpcz3napS3I/1mS0dW2lBd1YPpEgpUAJLEe7
RJeapm9XdS/6FVQJ6pAirdmGHV11rCaqBCUmCxjUk7gj58i2Q+cel2EFB6U4lXV4oQ/j4wTcibYU
YjssoruuOhB1wf0WMblMnDQJMrcFLDK6TCw9nE5dOMPcHucnKjFu2PN2IEjMFesZpRoj/irUc6o8
Cu+4bDGMZaybdP1ziwuXspb8VCTCxgM53TSynLaD01MB3PmUi/Z1G5juPK4zCGhrGmfnzWRj2vKE
saEDfFqnHcf4weu/atZ4AqxAxBc/dVCE+tdxrCS3MnU1ot7TGZIHhZ5fpJ5RBYlSj50NwCSthwuq
brqgT5jVAto7a8R8arcDR5qFQbHs0kMVVge0/mg1WvIqNeRdXQ8Bxyw2MKAu2DTTWQLOkwWRTrI3
i7PMStHZ0Zo41PNsnccWye0qOlphsVEVezz2jOYKn3lKdktmW29yQcyY7WWhEQzKckU/NX3tehQ9
dQTJcLP4wA0myqc0J7phpEZ9lk/3Rt0e+44Tbi3UU0SP4GqGDj1N+rmNxo0zovWko77PyvQuKvuL
xDbXGUVOK8eZE0AaPKgr5iR7lYVxIEb/hnk6h6Xa/JC53ux1Io2kwuWVrZftLjaJLZnZA3aBx4LT
qKzqay2uMFX6GZ1yOfM9L09B6xSPg+tRRgaeQZgvoqLQxkVw6Yf8PGb2AUgIB+PFeRt7WGgmcNBc
6EZMawMuV9OfxT4ehqeSmSwUxPZpDIdH3WrurQbpg1VnV8b+ddrYnEYxftstLAz8nmB9hqBzs4qD
C1ttD9SE2XbnMGWVk6ne4e6MDlFjRfu6re86Z37BN/yltjmSjAknLD9NlmYzSw8s0T30Ca5aHfjg
WjrxUdPkUbj+a0nabyWiGvy/1M+4dbaJsu6rRuzYS98MIlmqHc2zBTFq7cWCQPWoXUWxdZm4lRaY
Gd1cSU6KwC13pT69FtE87rMp2nc9Ow1qIPyg1EgioXdJKlbKl7QkvjfBhuEum72TLyYIRDrWQzGr
i8TJtsUABiQ0CEwzQYOjpg3bvJmudd3CJRwDHlH1Fdm+Bxyx8ZEUPVtBffzIEv8upYtt5ZhVyIQD
1GUzT9+GnigemMRyHUaGFeALIX3YLB31Ll1NYd6dqWLm0kE1XWU6WyZZJSykk7QDS8b7LBpfnbgF
DuuU5WZ0fPJV9aWuWR8ZXm7y4kDUgPhzQYGXmcHMKHAzkUz20yxfyu8cmrg+uAuZpmK2IxZWjTdq
7PM7cpejYR2ilkV/Xtg2upFe6sBuJmZ98OJOrk/US4WnIk8PcVufw7j+1i60HFhPFxP4HIdiuGrh
6ZgT+p1YGDv+QttRC3cHuN3GXUg8KUiecmHzuAOUnpw4uL1we4aF4JP0w6O/MH06qXFPL5yfMsle
xoX8M4IAyhYWUOGZEhKBAZ4JUJAxfAwKbpC7EITKyTrFTvEyTnyiuo/fd2iNTdjLRw4ey4YZGIKF
PyUCsDNlLnZaE1NxI999w/oyK/Gt17kYiNvdV4ovjFJkc23nbcMjoqy3deHeMHegCS/UmX4M2irP
+yu883e8VaI28fVcWFhFrKUfuteM1QwViymuueZkeuhkhqGf/o+DNdhnowqfY5dSeZUnH8XAUSy0
BpKJGDT2TdY/UHI0B3gU6XGi3Bxj9n92Sb/tkpif/+0uqf1QH38xql/m7r/vlEAAEzzDY4Rnatko
/bBTMlCj3MXj4jiOLdj3/Hun5PyL4TnUAJfV/weVyrT/BRDFx5O3hMO/D/j/wTYJnPDnbRIEHOoB
Ub4gCGA++GRPKqrc4njrOVeFOffbSoQWJ0z3xUWalW73ZLTOQzbfhlO/A5uzMWrvtmujhzCfs4CE
jhkwn1rX5XRJ+DTS3s0heyjoG1zrpkp3lNS+OS2JMUgNh6pI9yJi/srSsrV1FQZxj/wMj+OLVvbV
m96WCRXq+bDhMRdChksBQClnH0bqWA5YaVMzfirIF5ST/zKTQcgrj4FLUr9OaXbrx+arcvTnsZ+M
wGnHZaIngynOyHPW6anrGJDa9DA8TcL7ksAkOpUVHVf6YKNfVelD1uVfxOTOB6sgSAJslizYvJ9r
40vfFFc+Z7rJcc++2mWz2NS+RPlOh4cuTl68RNsPQj41SouOrlGtfUZDRdlf6Sk4cKoGxim5WlLP
9UTDHTLcV0muld0jsDBnuPKXgC/D2YMlt6TzqGUlwGKcl4Z3cjpt9lIbMQ+/Kt01zbwYNvo1bFSK
02yFVJ4aJAiscCXtpsGZ4S/dV+BkQ+3CKeSwly2H7zDpNoNMyflQ+SVwiVhw/oI+z/e1zL8q/O3r
1mgQ4JXYKWeOIb52N5Pn70XK8iQ4xu3ikqROQpgtL3m9nICJHc1M6tWbmKdk3QisoZz1Jc780Qn9
hTZ3QYaA9i7/qqistZNCCoZtRkNxPNNkC0OZEW1rkfvJhQ3paYkOR2R5AmdgdJNnFjqk29ASlbRM
uV0OqVMCJLUtIHW17ivHvAPQvXbbNUy1BT4R0o23g0vZqKvj6a3N98mgK8yq07tSZ88c881plflg
A72qi1xtcAN6F7WmH3JPXjIh+gJL5zFuGG3UHsCQYQrXs+OwXMI3DibFxiRL20M/tXLd19lTlyDh
zviGgiQubumlNoOsH/dotnJLbzNayQTLOpPAmGltI5H/je/jJKvq2lIxAAGxoyWRABL7qaonOzjl
5jmlnpku6lOrD5dy5mRCTPEIke6C7ryDUXTzKqeZ2eu9t7SJDn4cQVU0cmCHzT0z2jMjjgec8wdR
ymOnrA/pOIdMRNcEtL+UTf7gZDUf6jxcWCYI4E5edj1QG+I3t3nR78YwubAWnWge9pUvD/riUZws
JOD4GFmC3uLJPFX5cBoacSNiK992lECHUfs8MPNj3jizrWqvq47GRHoaj8o37uykOmVJv6d9iXlg
XnSHtDeuLaEuo8olV9WTuZyIpEfGuZHNE0viKRzTyy6m7C6a7koqalEq4qcsZxo3JE9R5u7sSO4L
J/EOMPZ2zJ9jro720oSvG3DexFcTHThl3hZaD7dA1EHcqUPvi2cxDnngiTxf+0Z3R8nzRaeA2Mwu
6SFMgM/I4Xu3Y62e2rUxzhzOvPLSzJ0vs+fvBg13jc82LelfSpA3jS2+zU3UQbnk7EG+PeEQzNFu
Rvi8M5B2g9wbcmPrSZtn32iicVjFvFFOfvKj7gJ4wGFsO+psdP8Ux/G11eenMJqGFTmbyyEE+pj4
5aI1eitN5XRv+rta+leqhK3oUTpb1EKnJVl/TPTuYtStJzPTABylZyaLzhoeyVulj9yNEXLRcNIj
7WkU/bWp61cigw/nuMAcp+HV0DgGJVVEzg4Jqm75LpRub8uO3k6kvC8VKPXJ5/jbJmqfyXSXldWw
bhz9kfDcsQYdHMe41UANM+bWA8O6p7NnkyTzW5q75xlzzEVp19VBRBTrFOWltqCqwpo69Nn+olfO
zjXClWXCaUhbx9oMajT20Ni5l6OPjB0is+NFYXKnC0gqxlbXafIUlA67ta2gHMUVjBH29k4k9k3R
PTdDcq456k9ddB+qZo8qxclv8B7p193xnu+jKX9q65jOBusmW+qhBVpL6kw8VsadbcnroY3uEzE3
a8/p91pO9ndGeGyc2znX0RJ9Phr9WmN2x2Rtuu0745xhINoIDGE0XS4mMH24rUznsqH0x9lgSTLy
TTfUyaPNVIyHv+OejJKYa8FUfxvXDrh1cryJ13N3MqMgsL1yFG8Jw9SeDePOjUqfblvbI2val5tZ
S+qV0TObjHrm7H1XvPUohJZTpltWGOK8kGXWFeXQI7FiW7b7MAZZOOYwnmTv90ca6gowGdO3UjXE
sqF+ZlOJJpEqfYWXytvYef7Uy8jgxO4oMndgFujqdLVVkToFlZzRBY7I6rqs9fY51V3EIHtWGr7D
wb5thnImpDbj9RpyCwguRkkdcyGterOuXZAEP/ZVcmN42dYa041rzI9FHd5FtTp1tUGKHXnKyD2q
I/X6OURkWqJgG6U3yGbZuOuoEd2YbfvWp12gZ96LFZqX/UAsGVxEQXtnS3EvatE9mcRp7bnxK0/W
R2GqPTn6a2GPH2FqngBIYgGLSa0l7PobzXyuZvvkJsVlmOQmO+QCsi1xuIosX8cSjT+GKKUKr1MG
HXkm79omg91dzIcqci7sMdnrakZErg5Uwa9sKTIQ2fDKnNS89Yfi3IJ76+U0rYuyvC/zoWQ0kZ04
dB6E0C5RqgK2QjtjrA9t6O+0LD5Ebn2KqvbJscxTXupHZbLSmt4286p3DsabNItux5CdwkS0cg7j
jeI0bNftRxH7F1pZBg0X3Th2J5TPd/DKYOz98iBFcqeMdIPsSNU98y2zALU5inOTIRC1Jd6BaaGV
u9FmBoMT9gByFjRZ5zfbNtX3RWc845ZHztTHra0RUcedydaiXiVlXvN0z55zapSgVUYIPcbGzzAf
wQ8/aFX66PvI6N58wyCX8qNWv58GrJ9p9SSZA3JyNjDR9cnXUMkeKXPosDKaV4MtrsLI/DKKlkr4
tKJG1gWUnxz8RPhbNI9Tn80f1WRftZXOOx6IgzsGF0skB5vJEhOueKr0TTg53rXU5bG0mCfk+JXi
VtzmlnaRt5DLtMjcNoiwq9COIfQ05OviyXmxB4LrPk8aYojjxTh6pIcH+TTa822lOS+GkYbbKqmf
BYnQlXC6bdb0OZlB3rUX6nt/efQg3KwoHI73kcrTAOPrZYWbJYu0+Voz1KnSIyQZ8seoAQUnRUox
66mGacL/o89rrfe05SZjtaNT4cDMAK5s213MwNxXlW09jzo3WooeslYjUeB6sq70LLmCMxNYqRUf
3HhuLiripcCWTEoo8+g4qPDWb/IXkAHWfrndHTiCYARYzYkpmC9eDIHnf9g7r+W4jbbr3sp/A3Ah
NNDA6QwmkZwZZpE8QZEihZwzrv5fLVu2JIe3/B371C5qEoB+wt5rV+KGOWJ85bGLcY3qEFb6vQmI
dSltHc9yzyAD/UieXtWhvuulaCAB5V+QF5MPbZk0s+592pUXMR1+yjhwyMZp05rd02zUt95UK0Ci
PCVGeMrBF2VSzJeA3h7rzHsWk3WLha+8tC322T3ouq3ZieclZ1NA/KdSmjCDGfiHtdrYlmxLINmI
YZ9kcGhacBVgnUWuW3ds+k3aiKZhWutmszAZxVmOtjGNOIDv/13Hd/2rHPwfnJnEcHqOx8KHYFL0
hNhIfpwzm7GuIyQp4nNS4R4oju0yrTxx988v8qMSXSUQqRch9hySHJ7jn4fZaTA17FfbmHz4g1Yc
dTaemrjvxvt/fhk60e9m5r+9jEROKXRbDbzU2/huZh7oukcXoFO4m1/G8kGz/oeL9S/+fSb/UOoQ
rfF1/fxdtd7slKWTZ+di5ELbu8Hrv37/Ek8H3xBflIKz/Pj+Q6kGtHadn136Dvva/g2E97c4NeUJ
+cMQ8Ofv56ffWjipwfie7weKLvKbFBqU9AXz9o8s8f/5o/zFS5H/4yiPio2Zy/vpp8hc5oXjUqZn
Qo6xFHf6irTzUKw5hiFh//Nrqbf908f64WdhdvH9z64bcT5IJ8vOlbVm/mbTd3U+z9R52P7zC/3V
h/r+9//pQxUy8XDi/vpCTMUL9vbRlnNEHcXV/7jW1Jv++UMhvgUgzOlI6IDyZX13LVt2YZYcvMW5
tbZB9jqgDQs+//PH+avL+buX+PlyW1DqlSFi+nPhvibBs9D+D5ezIssiV8Zzh03mx4+Q1Gw2hWYW
54QnIAPcbP4/PLzYkOmOMsyYlvM1fO27L6nQCup7xyjPi3wd5alXG5/ufzy7/upH5yJGcC1UNoSa
cX3/Q0CzrwqiyvMzkAZwMWrjYt8MxMyzKrP+x5X8F6/l6nwM0yBXC8fqT99YFLgM2RK7OEeqp97E
ilezQThZUmPdfv3x//N1Ce6Uvx953vUdI88/a5PVX/0+8CTYzMC8+Z0G+XdtMgNPgd7NwYfPItj9
buAJR5OrHDU/d+yv+9/fV8NsjbHU6zpqPwheyij2L2aepquOgT8eDfi6yCDnEmFxrcxnUv/peTcg
F4Nb781n3NvtlqDrYtMKnZVnarlBfenqRCawhrUpiu2gqI7j2N8hXd7ZbsqoQzE54ki3r6YCud+Q
sAXuW3EhcBWss9lqt6bReSenhN40AYG8MQWzIkd02mU+h1iYkvLJW4xkDXXmc1GjHTSi5SaP4fQG
Y0kESDUgSA7lGbLlsC7KAeliBVQjLsdlZbhsZ3u4+KjyzZvU0rLDkI89UEAbDkdk7zWJIQvFansg
XKtwifkobHr89BazwseY1nelkpPlY+M3uqMdkkmbLkLAMuul86ozwqgXbq5br+ZfCYz0CGV7BLLX
++1UZH4wekeW/qvaYu7EDv1GT+nh+urBS+pLUuFedI3hY5XzZpfRBNOSXAl7pg8Y7eNSue+LlzHI
Q867doE3z7JUG6oRNTdcolXkkFxlBp/TCMWf7ZbbAJaz1OpjYVZPSZwjQWHzpeZtLHfs+W2JzZPB
PngzutVtHIUocxKrBjFkwRPbaX0BVSLi9QJ9hBraQGc0Gra45c5k8aN7487EQNQb3pYG7mNx3Xhj
y4FaFN2vxLfGLh6eTNG3FZrBhN7XHStkfIirRlN8Ys51xLYW+rWoNsNk2n47fwTS2Zhm1a3NIHzl
5PnSy5AtamoXfieWcmvoHYqCzLwOmtlZSQdXXZVUN1GzvLpopFcGtK11lEG/aBQzrHDKw2B2j0lS
3vR6rrP/ZUGttrVLvQUDjczIAq9qODfTGH7qispjkNFehvBW/EFDEO06XK5uawcE9IUYs2aWtDIr
YlQELeNYFUsf195jFSTXaR7W67p1LoPRbfy5pinp7PiVbXa47obyVU6Id9uJYUKrBcs+6Erh4xpM
EaVS/uQE1uCLWip/EqFYhV14JwPJNVVa5h7w17ELGO32ReqtAmZrq7hm6saehL3/eOMYEZtEi4TK
KWcAwZA6d8w9hoduPYQeuQ8timgN26OMYFsqBJhTIcWzwUCtmGecy0k7NAB9WDKkn6Gff0py662a
x+tEMbCNMP/AKHFqzBCd3uiewILqm8RlyBK0LNdx9F1blfXOzqFatVW0t7L5bUy802QWd7S2yTq3
l+espv5qNTvcEiySkHgCVrQLnGdEdTdmiGArSdKPZBnQOpkBeKkReHimOYxFodN4IfE7UThyU8fZ
RqvSTwWdpNFEDHsG8droyQuAT9A5XUlnh55jFZfWEdzmY9JoTO+GC/BO+kafbFi7yMRJulujsFwP
tmGsEk977momRUl5VTZ5tholu78olE/dYgLCCS1vP1QSc1EONnY0uPDq1hNnMy1dxFcwe97/Oxa/
bgIV3/8fjsWYuc9c9n9xMPJ33x+MdCYGfmdm8wQI/KGZMi2UUfjOOHIsi0aS//XNt2P+Qt9FZpUj
6MioBzkzf9NMkRP61QHtQrLQiZgGZfEvDkYIpD8fjMJktUjfZHLc8lbMH0s1kM5oahryPaZGl9tC
qXYFuu3Vgpg3klz05CTxONdHndBshMB6liO1dph4sUdBPxyDYzqC3FChVFYNI8QRe3vq29OYBtV7
1QX5Tio9c5RJhs0hXPZ15WkswHJDm67bJu/O+GbFs6Y73dYIUIutiYtjflgExSkNK48AT3TlU2aT
i2JgGMH3ultcJ39Aum0/g/hr7kbT7o9dG8kDB2DJqdHj0DXsuXy0ep39mtWaH2QeZE+2nhX70G6J
VqiC9nUAqwHvjHNANpwOMhmZS0ZDdTMqcX3PsimMw8ofRkMMZ0BTYvjMhD0SlwZNJwEkXZn2O+Or
FU6EXhLBNcp6dnw8ZpqzjKqCuD5jiqAheipRSFntls5a5HhCpY5yHtVYhFC5zBhd4X8dqlHzbcY2
8aWjFWy44p4nEwuUOt+YWFG9OpieHWKIXmdN2uUKi0WxDSPHvph7Z77rxnJ5hUyPyrVgREEuJf7X
ODQ8RM9D+MaVFJN1tSyvQRstH8x+nxCKb4swvtBkCY3QcIb1aOP00KoxJPva6OddOsNdC6EDXqXl
VPl2R3TWCoKaljEXCuNtm3dWRd2U43RP609Cxtkh84wHK8VcWGkIiCLOYs72piMDtXXu3KjKD53W
eQ+VTljA5GEKyU2E22isbFwBDOM+GKt5b5qEwUXCBsC5KT8nrqH5TTdMu0HT2mkzZjXOcjZY1Rep
le1hroKCzFaXEbe+OC/hYkh/8VC7TkGaXElwvViq6+TZQPK3Hhf2C22KnGXpJ+2Sizdktqmyf8Im
eKJtGR8KJcfuyym+0xjHXUdKyF3Qj0G7xhsDiLxlzj0AR+o27WS3fshyBW00LOu9OZgfngP/OrMu
5DRaN4zVmQrinDQ+KiV+r2MONI/VLCxm9zeGxn8tiiI1/P2z+PRa0Wj/yTnM3/z+HOaRyjCNGRdM
I+Gptvf3BsX8BaSSyeTF0BVZi7bmD+2qempb7BE9Hc0EXci357Dl/mLYwuP/WIpn8S/9k5au5iA/
NSiwdYTiWyCHxff843O4wUsi7MFczlXVUhgwBV01HjdwZc8PRlLvAmX1H7FoBFX/pvcBePKJq2oS
l1R7GWI67cEbal+356O9QLqz4X6aiP55yMRnh8y2OXCv9SxEyY1PeFPDlEwn7zha9lWZlzs39PZ9
YrLzwCTpOkg9mlBlrTrjnWOX/bazjA/NKS7p80B2DSI8SmWwpLQJVm5tb2ZuX0Vj3+XYD3Wbm6Ey
3UdZWdfsJs42HI1V3xQDNMQhI05q3gVTarHP8G6yJLzjUbUubNR4sw2eN8xKHU+0+BjLMDkuS1+9
Fh2vM9vDbtEablbyFEEx7Nmr6FtMXmylM8yjHWsCKvGwuuh1QoHNaqRNMymE0qhGv27zAM3ewj72
u5m3Xg3trq8bcH+lSHbTQosg9WhbjumelITNFHYe5XHkNyIzDuZcXlo68nyD5MQAOcrabfQKdx2i
h5Sexhudu9qIHQJImm6NuIVP4TXi7GbOoRgplcvFA1vf2tkBBcHJIX3FKopu3XbBSxu69wney0Os
WXsxBx8MUotVDrHR9Zzcb1GdYDMjRkATYl9GQQvYINfvkWtgk5rsA2umyRdhdQsoYw8wWK4jG/5r
uLT1mrjt4IDAgo5TT3HUJR6WN/TOSxTPmzpA6ocP8nNjsEMaagOwgraoVtBwcZGnBLOQ1EWGZuRr
naFj8tK9lImUmUMWDoqD02v2Hk/4uB41Nz1Uru1PUuDxEsJaMT5Pdh3Op3rftGEZ3LmYYy8MJ3oP
tbLauBgTL5YqApefNYemDu9RlCDa7My90OinGFERRdzbm8FlJzEU5WXhNse2zb+UU9GsxDJCVBme
qpaiAo3sY2/WRGoiGV8PQfU0tK6+ke1y1RfTVZ7rygGYEL/nkn9JgnlHc4pGlFtCe+xGQ1/jAd0n
JssVJxRnCfCjd6EEx6iFQTeXK5AfO4TcV5mDJ1j3upelCs6Dnj54E0KdnAiF0KwRzhK7tk6MOt40
Sdlu46h49fT0GIWYdLMw2hAafywyb98xQ1yPUnsnf/iByL56HWohnY2pv1tx9Tikrq+RRrBqgJu/
Do2NpUl7HoSy4XXu0ZrQF1LUpzdOKl6wQVy2hnyXS3vJdvC0GIg144U84NI+T2VpHosm32U6K/hK
OpfWhMW1YcmnmdHtEOr4QuP5xZT3qbYRs3tZxTFZ0km7CqKYE6/S7uNBGqsuzW5gi2voaZvnSutu
E6cPEMEu15ENu9ohxdwaie3Edqhpzn5RoHFijiAON0AyUZOussg7Ss+DOJyeIRase8GvboIQHXBS
79J8eeHM7LYdLa4DOYE0a6IwE9WJ1lf9uBy8Kn6DLq0zojAIXRg9yDrJXZfZb14DKrafiOQuavlI
PHKxNvKAmxjXzcrigM5rnoUrb8mmXVuYc/4rlvG/E9dkZ/APJ+7H8Pr+V2cuf/X7mQvsiTg2qFtk
BDuM/r47c4E9QR2AZCksV0jFzvx25nq/2KbjwNEwMY2oP//jzCVtWLe/splc5ogILv9F62NZP+5A
fp0JMgn02LQgxuRd/HjkBliNLJsI8HNcXFuzVEMcBDkTtem0mCPmKrNeeWZx5S7ZrTuLt7nKNIy0
i0GgFt53siYJy+i8izb1zpbOQmPSnDcvSo9Z7z0uylI5MhDCQF9rDh0+8MmsolB2W8dco9IFKJBf
wcSFxhsMHuZxFuB6DZSZDRE6wfTRAcC0tVieEZJZoxAM4B+Y9lOacZnPy5uGhfZXf3fdP6Rxd914
4hSzit4BibvL0+mhLKfwFAzdRTkOFebB9tJwUVJMJIflU8lnXvzEtXAb9ofejbbsIwOQ3cW2iLRP
PYnxMMVXIBVPbKa2i4jY3kgZbGDrQG5lAokSf1u7GSBwwmjoYd/xPpzb1HBWYVzPdwsmtngIyBmr
WoyCWGztxIo5uAUolEJLNp5mP+dLSrDpGEioQHp2IcvY8+vRaDHsBDs8LYnvjkr+6Nm+N1OZjN6y
sgwk7nC6kS3Yj02NOG8dIvBnd99zaINWKHG5TA7iyQdjHNn+kgtQR77NRCfaZEk3NAg0w4TjhhGi
8IMSYWJNi4oEaJO2gB6URXQcnE0PxHyVhOFu0sWwlktA2AmkayFxPILA/6gS+5jprbcauuVlEVRr
IFoZxQT9Q0fwewwDPLBJA8gAAAialL6/nBqSiJ2k2BP1p22itLIxowxHTyctM0VvB/fq0yyci7xC
AJnb82tt2PWDyGF354ITfliN1XgA9LIjjj7AKhNg3YmDPUTQch3W1uXcp8bK00BfzxqN+5K7j9rQ
uCun1rajZ5IkAYRDWRXcYDwsHs2iXlYOlCpsmAPZ8oyvd3EcyZUuwY2Zwdbq4ShrAB+apn9cEAtl
tvmltPjOeMA/6S7q3CB9AMn9HObN9RQhUZ86FyvL8tQ22AF1PAdo/OSaKOdNMXUXeS+5mpPlaQA6
j/DntZtpwG3zEmuHb8TVsxOPnR9YqPdSAuZXWZPdc1w8ROzecHWKlreWXpIKsakWjFadfK7Bea2a
3jk2QNCWSOx0izRaEAQ7fSasoO9fbDe8JUhxK43iDAj5PFU6rl5nMfEYDQQ6OcXVkg4n0wq3afGe
YmDpER1s2jHYlfGoMp+F8oXP1zGRc64e8F9G4oc62T4tfTutAaO95gE+XltPu7XObsDIQhOXxnzv
LBQNU5nJldXIe/K3MJfqz4sbHTNvurFMbUdphre69t6DXN/nnstlJOsDUi8uwEBx4KdNkJgfdiIq
bijjnsv4SXbAfYygPHUxMHHPeveWudkk2nhdBqjS8tYQa+whkmjYwl5lToRCt0PyZadTdj2n3m1K
qpJSy9SHYIj0TT4bJGE53tsUdK9pVl8HRoOnS9qB34467qq59ihr7MsKnsL1Yrk74hAjUGlDndxV
hfE5mMmoDdPlYSnLK2sJ3wyETH3Wz/s88LRNl5oAVkIICVXUgs5HZUae0kdZyWXTkzhEtlOl4hVq
DnbSsFcOTBCeRbTdgWiuaOcvO9O4iHvjEEXdbYMYDjOudXAWcZp67bLM+ZRxWvtVF+kI1DThA+D0
kyiHYyHFr4v6/458tTH/+yP/Onv9/NH8RZv9/R5QHfkYYH4zN6g29/c2mxWhKzjvHdQmXxvm7458
yODwG6EHsS7Wv8/GU+5RGm3CekBeS46gf3Xmez9ui7+e+czIXbo+wIAKcfzjmT/MI4W0kOO5I6YR
b376qRzmW1kORCp74Tk36uQz8fYFMBHrHs8Qh4el0bzI8YsW6VvsGQLHj4b+jwBhcrCQaUr0mHET
vDUhXdeUSVLo+uJWeFnIQVwGu3EIjm6OXSuq5Bt0njtnWD5FNDgsDPApmRXe9zLK96msLizV/OdS
GaC8Yrtk5h2vxdoFTEGDOwiP1cwCwEWgHizOsUux8rNMWYH6eU9a9yhQe+liOkdhuy8lD0ceQDdm
pOtb4VpYDMWgPPzlBvEE2yiTaFCQ+eo5saJcWVt1nxyo5UBIVMbeIEFo63Vs5Kgt3E0P0G9jpcHO
wfS4Kq3c2weVuIc8xITY83vL2vQ47FZki8Wkwc8H9p1i3RURvB19ebS9d3Ll/MacVBN3IYfuqdcX
ZsEJWTVCJTL3M/WNMxDObU/zx6CzCTPkVloaqTd69BgamMogKaGzRnyIYI4iQzVtkiQfeVJtZ1g2
j6Vmv2H8uATMh7Jy8R0SZerWOPRBemPOiPRD27l1+YaCWJJbU5ItnWWnRni3Tqy/pdOir2C685hk
tYXZYXzITfGcIC0yKwAcCHLFtuoNxneTvCRX7F5TgBVn0R/jIWERU5DvbgUP1dSc0Oazl2P91WbZ
h9Cil2nQ7isL8XY03Xaes2UX+9RryWf8mFRZhF+vm4q0tkXJi822/iKh3eg9ALlaeEd+pqsxkcgG
MQOLL8iiN4HJxxn7ZVup6a0p1MaJbBNFFtFDuVsSaa+aonyxCgcXfzuvicx+Ff3I9WVgC8hDIKRD
V14ZQ/YecEV6jZWz9yX0JHMuemfel073PmgCaHVk3ds0xWEMFooi6NrQR8AYuB98WroIFsac+FpE
vM9suco/nD4mHV/SQpG3sjm2VyI3bzun2nhVTg5K3ngbsELstch9OJl9+Ti17NsOFvfcc86kqFT0
0ShEdbt0AlPkHN3MY+MdghSrAbygaQfAEpZkD4amr40EL2/E41+rvjAr6TwEy3XH0RQFybzpoDss
D8PXmtAeJpdqLQxScVcEFhUWUtDHGIbTRlBT6p5NDi1V5lQIyk1Vd7pAE2Th7fAJU5IarusTy5Bd
IKaUm5zkD7TO1nM52AlRBtxuWcQlXYwdabs02pBvrLUW537oetOdW1EBl0j/p2h5x1DMSjR0/Zga
WqeW7tOconrCn1Q4buTjeUUoKU+TENAqYuI13E8xlXnkstqFMbjFY3UAIaIikvyMWh7c1bZS9dtC
lQ+qhtEcdb+IivCU0Qmkwrnj2zV2wG9ObUKdRs/gwYZqLKhYYTC+tY54LEvrKdcljFT6jSSzKIvr
ZVFGjEebRQVDLDp39OanUTUshWpd0iiDzUR0Jn0cBl1oynVnMyKg4TFrsNdW+mWmE6oS+VjVMWQi
8da0xH7ouTw79E5OX+orUUfWyqLsR+7KsEQPjDd9Sm5dei9+PJqwBNpml8oHYCgjd4jVre3RjTao
bX1HnfW0eBANOf7Ljptp5taTFAZtZB5aVSnElAyYzymbjQugapfwXa8IWWPrr6qMjBx74odzb2XF
bFN7Cb1V5MayCShQtGjptqVXJ9sOCBAGe/1UqHoGUs28NylxljB41eb8KqL00VQNZEzzZ01VRTOg
3HUzYq5pgdnkM1ZVGdafR8SEeDyYHlK0PMSucxlV1ed4of8kmikHdtPstcJ8IIUqXwcVv0Ymgy1l
ve67gctjYzzIHIJX4PRoCTgdqg7v6cjEJ8+41rBFjBR8eqg1F41uzNRJ8Ek2Qsle2qBrvRczJzvy
+LUQ+K8iUgXC31dEt/Hwgdb+/ePPRZH6w29zEEP8onRw0K11dqzK2fmtJoKo4TDoYPbgMSnB+/3H
GISAQi4/pE+sBITaD/8xBrF+YZMMPpuFxm8Jhf9iDuKpzcL3mwfJ4tdEXMEYBIYkc5ofS6LILBC0
9xa4ibKuK3mlgaNC3+Ahj8p1H+dAevZ600pxEQXUIejBl60BukByt0JgdjM9O/dlra3GHF2GbRco
GVJt9kezLS4p/vM7Dt7x3E+iugKCWX7uwm68MPMxvRMGG1dRJpgYu0l+BGbMhFu4wdZIGsLIJNGF
L1Qv9GrawO3TjBU0hWyXmsboL1lhvw2DY3zRrHi5NVsn7smBAsBdzLDsdNeDN+3U/mQmJuc5eh66
2vQ6z/vg3mRzd9tXWhbd6Ymdhu0uk0a9HBhI0+M3JEpa6EhkEZq8YA8ig1aOAQfko3l0y/kVgdlw
0zSGS2sIWJsZwuIM+gm1TrLJ7bhOHrRksdVUIZUS6KBTN1gkLDzm9kB8Ah506yCGvNsslL2+XOhe
CW5yu6r2jcKGrzQ0nn05VFbzGhD0DXybTo2DVW8pWurBmfFGFpZFSnqbHGbcXZ5fLuJ2MWArsYC0
6VVl8rlLsuiicgiqOtr4TA9u7cbD7cIudTs3dgGBJ+LCHI+5l82FtvvvicAtCuGGeeTfPxHuWEW9
/r910y9/fiSov/z2SMAFbrs0NtzfOAl+jCY1UUXiReXFviHyv41GJUNTBpXQjH9FGdPd/CYLsZxf
CFKxgT0Y5EB8baH+xTMBos9PDwWQcIgyaeN4bkn1Vn58KHgB+oTQdfF9TTEyNmUNayB5UWsUn2Ju
kI2pDGSt2RC7l3JGYf071LYBZx6cRpnn4wXmHEQeEXD7Tu/3IXFiNGY24MkSZ1rRJ1usQptEJm9j
0DA+VBY36FGMe5TtTSoDnFbN3nVU5w+2MsjVo0XMJp45jDIPYdhRQ8Sf8Hfd5wTvnKURaOtyMggK
p7JHOWXEF3kWfQoEm8CUBFAXusVq6s0PQ2v6bWhq431Re3sHf15STfNWh0GHsuC2Nkb2JqT3wOA8
DayaQlHvbIBniK/YJaE2oaAFSDGXx9aGoxx21i7FQ0EX1X6GaLWgsguHjWQcs7bigKK5vhPevKV+
woWGdaZtmvgwZPLFMMCjjtN4GpQpyF1UmiHYh37CjlTGhj+lNHxZk1LdLLdBaMx7WzP4avp4uMxi
cCm5HZ7Yi1x4LpUPjpjN0mnvSZIRsFnXaG3KeDcuBFLXAT2pNqQgKPEGrvqF1MnMvbZCaPgWgMlM
UrZ1nXWbMD4r23eys75I/rkeLjX/FGVyZLSvUV+IdUtUE2buDrgopY6lEmCRmK/KbMADnAl82HO7
J0X6FiRoeV3nxrGekmmj10aFe1X1KVzDO55692JRkLjB813NfkAt7l3UQ0IP3MW+UwcnIKXDmiXh
Fo/eJSzV6zEo/Y5kaPx023Lyet+w40+eaMWumEyA7wo152X1donlca7nJ7PMt6IYXsQ4Y9Szhtuh
pWs3lvGDV542k5V9DLI2zkSwMwE35utkopwO0ujo9VpwNVjNG8ACSQaWYR5Q3zovkZbLDbghj213
0dL9L0S6UI43yQA9c9BI7AzL9mZqSxOWyKxG0VbFsUg28LtbuePFAEHJDeS2qaZ9Z1HT2UTYWkHz
7AlMzWIusE1XvASrrIq4ymYEwtLbfMVuGOA9iZYHqyrJnDcBDlqVvHNrB+f4/JFFdeobqX1LbGt4
6SzDZsmZZWLyNzyETKlDjgHz4fdkqbxDV8r3SdL84s7D9wEXxC+N9qYDeMeNeAyIdPclBy3sOdBM
7PzYNosNvHs1T3R7Vd7yF4SQUv+H8zYxgi9ZFVxnuCapmjv9PEQ9G8FemByKgIDNQt8sulPvw36h
gxp8IEAXY2K2fhyYz0mFstqhmbmKhKYfLYCRH7oepPelLqp9NrizBvgmYp343+n09XRS8Uz/dDp9
JgEWmcxfBGerv/zudNIpCcnhIc7s17L0W8XKweU6DPi+/R/+6tvppCT7SrCoikgKVCV1/HY6ub/o
IG5RH9quopAjdfw3p5P40YXzdYrnAi+XKCQFu8Wfg3ysZChoIiee1GgQ14JF3hZbY7KpErWYmToW
FmlrrSZbDM9jkl9W7eTtHN2VtJoxbNs5bP2gcA0StJ0N0gtmInMh144ea5d6t7zagbmcyJb/GJ0a
RTr+21WVBXdWrznHYgCYNQ9Wva3Q+p9w722SMHrsiOMY9YIsVc+9yDvzQjTGl3SaH8eIcZdIz3WG
u9ow917MdM9LoPbHuVXx3DZgEsxW5rNkatehxwCM8epHIsXD6Ggv6aB9jINKQw1goE0jOx0eWe81
xoJVqmunjurUJ7QE1FCK3mXwnDcFneXQwJ+fMWdjGskztUcMGeXljemEG6eESiJnwI913w2bsNn1
4TGMD8QR3yIIh4EQfCwK6lBcOwb2f+JKTgUTq2VKPuU1D0kk+1Fh3w82emw9+TKHajGRmTcuqd2A
QMClDGGLsqHDkdMDte6zKNtOHdC82rNqv0GsmMNPAkc5ij1SjWRtZRGAjqJn/lWKheeOsXDWgNzT
Oqf1RRfu04jFT47ZgKiV5BaUhkllz2ItmZlQGTGcWbskvbmplVebfec6xcl6gVyIE23Cp4qHb4dK
AH2gEfuN1cXY5xN73wfenD4WoSbDo9ku+SeAZZq3ysgm5usblvVkOSO0vHgE7Ol+abH2ThFi0I7C
h6kajXT3talulKwaHpjUIH+h8YiFEWxRthtnqcfTul0g5IXmXGwrMZbHfDHjBwQxjw3x63vL8V7S
eMqhsFTxeRSJiSOkb7bm7N57xXiw8KGAPO5xBaPwaQzjQesDw0eTa20mkMY76MvhbS6UX6LFOtYW
7FB1vkurHY4TdJl7rgAEWQLtIwaz6Ro+crtx+7G6D+vhrcUsdilTc2AvGX1URkRUrJh1gBTGSSMR
CAkZFmfo6Abzkq7fN33Q7E3IFne1U2ekcMviPjWBaFRGHCH+qe5Lt/O7zmFY2NPahLG9R6mqwIMa
YBQ4JCTJz5AXvGCtQSVf50DzNnYMtwJfGqqcOHAuull/nYJqXUfjI7v3CrmUPlNawS8PKadW5iS0
A1j38SVNxhGeRx34sdsVO0CC6efUstt9BoZhtdTuRTpG035A/bNpOm8RfoN8Z+XY4PZHywiuIvzL
R3eYTy19FJs+zImsobkz86HZEviML8Is2qPmLkCWDcDgqT0tm//Oo1/PI6YJ/3QeFf9v9aGa/j93
SxZ/+ft5pP/CdMIGVWV+nZMwW/nuPHJQwpscBximVf7X7+cROC2XLY9uEqUtfgBqOb9gR0OuyzOQ
1kbRSv/FcWTJPwlJkOobJGngLmPMSXzZj81S2882UFpXA7adJ+uMzUUccE1mDs53hQdK5bzXFDCI
feQNp5AHwhKD2AhVaJzBC6FJIEQM4FCl0ENoVcqVqXBEtQITxRCKmKw8lhCL0EwfZ2YHi0IZVQpq
JKAbBZX1gNpwlyvsUdgRGKVASDZEJAcyEjbfdh1Y+o2nIykfXZAZTdJ80if5ZRIYsJKxusvN5EEa
agKdMm7tNZayuVc/ib7q/dio/DyFWAhpHGRMqW2LGrwgbdRuTNGBw+TAIdfnFxHCdgKrgpLzDJSH
5geTeKmyQZtvknFwhy1p4yPFdqkCkwhQ0yvaPpWs5AEqLUsE7pWB7GtQ+Usmjy/QCNZmUNlMqQpp
UmlNXgEYVOU39Xry3hHoFOgkOwUq48nqTtnwYLalZIQP2Xr0esasc3knVTqUQUxUovKiJg9SBdiL
YQ0s/9IJ2vai1os3iFsJQOosKvUNqxiOZCcX5k2dhojpI2n745ze6xH6ENlDYZwYxnJcPxXEFVAj
l+dqmcorTv95rUlvU0gEQWF1KLLy1BrtLgcAlXnyYrKDJwaBLApSayb5mB64EPrBYPgPXqYl6qGb
gFs5cBX0jPEM7+eTG3bxxaB62kp1t67qcwF+5Wd8r/fswpDyVPRkYOUuxVfiTKfgM2SUgQRpvjJp
QNUfF1hZekvPqDut6hXZMTWVfheyHgSfDemhsc41tBsNHg8lwI2dyAPAt1069PtI4XEGODmdm58n
DyrcZM7UHgMuOX55ZnJRYvdQ1JJPNsgdWUa7kaMNQCoLO6A8E3CeCkhPA6ynAdoDLHpvKIoP46lq
7SiyzwLihwQLWD8G1J8Jeb6jOED85Mmq75MPcO6roeG9adgpN5biBzmAhBDt7v4/e2eyHLmRZdFf
6R+AzDED25hHBudpAyOZJOYZjunr+3imUiWpqtSmXmtTZVUSk2RGhOP5ffeeawIWMpocVxKkoU5m
ZwT521wxiCZFIzI16y6Ww3uhteu8vW+kri+xWtyEYIyqFgxZNR+AyD0KPxm41IJcA3wEZ7RjxWme
SQC95oqNpLkOZDa8pibYJApnsK0qklINUskP9HItcgRJZ8bAxWzArsbgYVa2Glerkau9/W5WAuic
wjWF0YU4yVPdDKcInFOmuE7CmDa1Ij3FQJ0C0E9JXlwRP/EWdOO+94oOhb3y5CteFP7pY5bxrwGS
otijQ1fM9x6IqV5VwCvm1KjoU67iUKXfkVRAMyZ2lApUFUFoMBaQaV8SVRphJ6yVFdhKa3dQu15a
gFeD36+xFm8T03vtAGLlEiJuydMd19USkQAoUvU8KYaWoUbQwXJOniFvPb2mKl0Rt5rGfI5BcA1t
Q7EBTK7Ss25MIF0usC5DUbumuT/biuM1AvQKisbb+6ROIlBfsZc+JUZ6IvL34Ba4PbNE3HbAwYyK
3hhgYamQT2lu3TWKIpaDE7Ny5b1rziCBuQzAGwsnNOoEBFlm1McaJBlvkkOpGGURsLI2wMas6GUS
pHFu1CvcQtmmB3BGCOeo+fpRMyGf1YO2tyZrJ0CidU29z0GkDT07wTk9jXReddl80/VpBxWoPpvA
1caKt6zHAJa32UMAfi0dIEbU9r4Dy9Za1SEC06ab0WMPts322nu2BRnKQLDpbbgtAN5SQG+6Ir7N
oN8CoznRpXcoFBOuBQ4XlekxBhY3Ao3DWACRGC1ZL2uxTADLWX28KQDNQTs8xq739c9s8mM2YVb4
v2aTpnhrvsX/CYxu8tU/5xMWPLqppgxVBP99nvhtPlHMdIFqaxEt4cYqmGp+3pdt/glDiE823SFb
onInP+/L5i9cvj3uuDa2GBfm598ZUIjU/0nN5RLKnOO4NtMJQb/v5V2/Yz74o61VPm+/Ky31DEQf
Ng8ed869o7YR/ffFRFd3DWA1kmXkmFK1vAiGuk0eIG3i1Py+3ijUpqOoq3AkmKw2IJDWWIbIH5uR
cKxn9iRjRjyeT9CPHYpJhSj9WN+XK6xxGjYt3fe1i9fRBtHYmMQXhQYrdTGHc3KfIyQ+cNtLDFRl
Md1FdLRQnJ0k0aaq0DfLLmt3tEOyabel+1jovQZmEEfnY4VvDru3Xc3T0iq4Jy21ti5gAFUInWlf
YYEg/kVBhL2DvAEPHdtDwN1MD6kk85L4TFrCk7DIZ+qTvNgJln5pgMAW+TI3Ewl+x82vXKfob3Pg
8etGpqCXY7fod6iFNjfc2ns16ECbMc365czTSjp0rnix7RIJyNxbzAPgeOcuj3dZ484fuaEB9Q2t
qS2Wk+AhaGxQFhNuJpYpoUh6vdltba7KGkoZeOUXiHy6vk7xCq+tRJdRsWaJxd6JHVI/K3vvYM6z
T16dtcN6qppw6yJl3LRNn7xiJmpvfLd1oX47Otfb1oru86G68s22wjKo8bd5XWhhL9Zhq6yoYVDK
eh8ZugwuXmwkL2nWGvfIrhl9GY4kSjIUIs52wixI6GkegfJ9zfQ2HnI3toZPZ/DCTx9A7hbKYgBF
MSKWGfuwwFqtnbhMAtFJvbh9jky9ai41NzkeUd0/Kt+PSkzrr29V0Vvbvf37jUp91c8TCxkPZBLX
adQzgP7Kf//bjcokKcclBAkPFBFG+99OrO91mXj3KG72lM6nDrNfTyxiycwxKBUE4n5dcv+NK5X9
naPz+6W0bXHsqWUWtz6D4mdkxt8TZAz1zauMunHBdmJhW7Jd6NbwyGWG+E6tXapIsEqZ43OaGSPb
GDIjU0isiBXoCpfPZynjM66QewoyYbTpNdEy0yfuD8O29Mydl0ksNME6B7o/DPw3UbLFgGHdNPWX
1u6WeJDhFYwR8c76LXKTMyC2T5eas8E310AbILPpFcsN64OTfxtOeEPMtsRQFOdyl1TNjlKeY5tA
VDbszQyFD6UDw67dA6wrH9yhvxqMSIKZteJtNBtvWYO5UIjnCLrcxg0CuayQ+LYNNuIl/Y1ogk57
sMcO1jrtD52h7XwzWadRcoe/v0KlMod1X403BReqRetVm8FRZmJ+uCONqcZy9gbk94LoNluMi29m
3+gkrbaTgQE8ptGGq1JwT8MBYj4IBVEMGiuD5JxawAzj0EjX8JqzJQ5GoAxjOSEfemuW/IfI7opV
OGQPwIm1Qw7LDiwcfAtyUYXnHzigoTza3dkvjPs6kluMTzfxGGtrOXMbnfJhK2bviyg4zVZGcUPV
cb6wPP8lSfRbei3YPgQlnbx4kaAxm/dzHr+koDeHjIsk0yIDeQzFllk4qcWXwiXvsEszL8ZyWket
wzkfmOCro6co4ecPiU3xpFFcdHB40imJARamxc1AfpZJutfabDWExMvilsrhTnfYMfJ9xNgupsAv
2FtS4T3lt2NDOq/0CHjPJnS80KXFqcDN3k3kFIaEr8Oj5K/0PLW2eSkvZek92XrA696SuNLHeiHy
6kWX8alL4lMTgzjUQp3ibPq78OAVeA9boNbInZigu2obmOUVbQrgQm2XxSRVXGEbX4mkfKGHPN7U
mTKsxw0sDtyIAz/ooEqD9IwuNl1cG0a7rOwBh6keHJtQ7gHnPUit35ZtwWRZQocesYfnMfJz2/t4
hQYmgSzCcCT6Z1Xx1PYGLQ7jdograjwK+ikhlQCm47ea3OuyHqgP9/s7L802HZjY+arrz4EWbybh
78OxuOh2cW30wS6z4SBKx1/1Ci6uFsQS0Jkso3llzA32T7aYvEHjYOloVGrWZCbLgj+0yO1qyVoi
Xw4Kd5uL/itKx3Q15qarcp58VNP2fUxA6Jfel5uMcl8S914G0ve3OCr2kQ7WceZ61DA5m/HCo/lu
q1EKs7ZHuh5LNxo2vuaZ7OZwsY8RkRmC45u8t75JgFwbGaXfSrN/ZsT5QOagXa/lRhGaw/Ukk2qJ
R4MCiM7p1hxHvbm0ZQHtkSR/d+Ts4cLtVTBfx7o2FkXe7e0CtirBisqxH4gRenTjsS0AdzpRCznU
hb6gqaCZkWgJt669gr4UrCSG6e3gLGEEaUzU5isudJO88wUE6rvBbzTzKEdZHgcb2eC5mS2jv6Rd
tStDVrxVAhqrtOgVjFXDYC3mN53KwVZ1D3bpeLBoBNs0qpfQ05yjTY/2iqodayEpL6zLsgXh6XC5
SaznVHM8MO5Umegk7Q+m6j9MC4+KKlQ6IrrlaxVYb6gpxqrzaPMzZyoeVJOiibaysFS7olA9i02H
8jtRvTjR0DDGfrJJK41eyeZGC+Qx98rXPh64mZqsyFWxos7QGVY2HHJzPEQTOj5OVt+t3mIIrY7S
2zrDjtam6odktrwTRnIVUBypJdNLFhlfs06jZBvaX2mfPzK7rLT5YKjaSctu1gDnb9NRhVUiDMAj
+NxjFrlnkWYYoOiuHOiwjLjnkfCi1rLmJka+Nb9yXGUxtn38BrRgGjwxVwOYc+Y1eZ7FdPTtUTUM
JtXOLaBgtqXotnSvc7azMHFV2ebcUO1SBNp9l65mO3wyGjQqz0ro2NJwTnipP/DNGzoP8Wqas68v
Z1ZehC0pzxlU3Wc+VgOlGMOp8ti2eB6A61B3L/FQnGXmsjAiqepD2W/zlg1s9+b4w7Q2VLWo6hhl
2M3WgeodRQp4CCSddnIonsqsPCQaFS0uZaVStZbyqbN4D6CAc7/QlsB3PumSfeCA3ogqO6V5pBqT
zJ1JHSpRqq0W049KvnSPa+O6h9bk2+V7zIOOtJO4skR3tFTHKn7qYBvMekNupgHv3vNIUJ2saKzJ
IqKm1bcnb9HDvqIKqN62djwsY6u9pLG8ZhLZAPV67HN9B3uCBbrqgZ2kNa5TAQqJhWS98lMIslrI
P3UxJKygI23h3upbyu68PSgOf9lG2YWaKFoXKaGlwgejieMf8Bg/ZEhQ66nkIciRtdHiOdxqgw6g
13eW0B5Cri9FBhzDYEtGNldrK0XVFfl+NkgH9lBM8EOrtlwXs5cVX0cyedQETVBaQT0dhxwHHDVs
c27wkbC9a6Pp6eHVcWE7VPMWZfgE15JljvsxU907OmJTtc5zmdLqG1bOqiNoH+TVsyi9nWkBQaEH
2EyorzEoBhZZdDRoCg7zbCtdgBTpfCD5fkOQBjttJ+4KVTJcaDbmXkoF/hEMfggGuKD+WjBYxZ/h
f9pl8IU/J2/d+UV4bAt+pUaoeOvPyRutgDSqglfaion3u8nbNH9h6622HP9ac/zUCoxfWIxQ7u0L
nFp/d5lB/ceftALsoCaPEuKyFjdhzGR/nLypCYz4THTmGVQpdm87rfFrLqVjp4c85s5IdrWf3QbA
iagM0PLFNN9Joh0hXvOTKRP3LY2KpdmRahf1a+Jmun5NoBMkRdITN1u0feFf8rLjDWnKLN7X3WTc
cwfQ7L3eikZb+L7WXfLADA7p5IhubaRpot/FLhm8IypB1n74RegM58asGvuGLci2d4rskyQaLVAF
zBzC5SRktkIZHf3vnseunrq9lRkcrvOMU3sdiEmS2HTJ8Ll1JI6G9BmN6jqh2onmkXUEmGbZ1E23
lmKKjxSuWqcgmCukRT/w32TLNIaXIMD57loIwWkRyevIsBUD7hUY+EfiINq6lp8vech/Vl3+6fgl
DLM+r61vQ0d1gQB9XofDvpiFvek4Y14HAr+L3hA4FIZU6uAfBggcyMBPusY+0k+H4GNk0ti1ZmHs
I3rTT1pqqLGuIQFTyxH/alVvLYUX4CzpKLYsxqXtVTBXMSxSSReceXGrldN5y3Zog5XX5UdP+uXS
DhpsU7Y971MLe0NsgJe2/GjrxjUMNeb/hTl5ybJsJUyjIl1Vnv/pWZFGNfe8y3Q0WEag7RSQC9Ha
PCViQVNWa43PVmQFq3SYe+B39rbUfVhStJ92UTNcpeZIVjJi3+xn9rhq4ImSYKyMC/SO9E4bbPO2
cJziMxFWw9UiLp7o/SJWEdffCvxlx39Ore+nlsq1/8WpRetj/p/EAr7q55Fl4EiFSIujx7N/BeT8
PLJgmNmQZJm9f177f5M3PRypWN4pLdJxv2Mj/U0sgJ0jgN3wZynsDq73vwX3ZMb9w5GF75Utn9Ir
PCg8sHoMZInfiwV0VGRVSnXNBTwpqzbbm/Femo78aBK57i2QVUIRIbQANkSi+49BBwM9UNwI23bf
uzy7cxVRgk3yChQqjAlgE1IT+xb4BLvHcNkoHkVc94QugFSkpv46KGwFYe/2mNf1vu6B0szxxey0
PUz+cwvxQlfoC6kgGD3NaTgzvF0BH2OG8eXCy+gGp1yWEDRShdLI4uHWMLsXZkIApGlxM6WaDi6X
Rl0F4ggUkgPnEnW4zpEi1gxoBzX0nEZ2ctsqngf8ILAX9jFXpA9qZbaTYn+IyrrQGm5BauTsBA/S
F/LotcG3yh+OsQH5U3FErBGiSFgE50ExRrDGvmDDW7eKPoLNVRmLvNXcNo8xgJIQDYR4oFkvgUc/
jEBMpDpuSiwvNDWfJ8U50fkdAsAn8Vy9gT5tN31AbTKb7nwZGbW9LQCmBIqc0nj5A+SuSyuH11yx
VVIgK6NXb7vv1JU8V22N+sYje1YH9iU1ILTYoFqkYrZMs/+YOP6GuMsZg9RWKLpLC+alULyXHvCL
BwBmwF60HkDCxBFhrF5RYmryabXixqRp92wDksHk1Sw6hZYBMUOtV0iYB2dtZEWrAgwNd3YKHAHT
tIGP5gSqxgBZIxS7hpnRPwyOrNaIwt+K0L0Lg2krU/j3eUntXWnoC2lqn0QfjjOwNifpnvj/dkXJ
0tPqPQ95KG7Zn3bXqC3ZyR/ze+dU6inxC2opHEaAVWQGEYN4+0Vsb5e4DRU4jLOdbEJ4+OlZl/W6
KiVXl5SkU6+1d3rfbAk1vFiTvvVD9FrAPEhRuA46qo1XRZHfyCRi49gCZ+5mmJ1IylPkEnXAu7dM
5+Zc+dRNJTm0UG7LWyMsj6ltscLmIZJim7HS4ZBEXUL78XTV8JgQVnDssICjBMfu9CGJYj5FRacE
bj+HPVAW7q1RCc8MF16Tazei8uvbdlLTqT7Gm84UGxq9qZI3gi/6CT8DG7BuVKLcido9uMX42DrN
e5fKGlpmeeOG/laL0hsdm7ZHV8oSXXJVjSjtptvjRBMN0M7uSjczi1+uWteuqyHmJZRjjRZtwzAO
/cydl0nf8nwmNNWV48Z0prfRMVZwcF8JWkHrmR54oaOFl2j7KdZORR1to1TbFwBhocIvw4RmIUo5
6XHepF5B+wPhx8maCfF2T3rdrCJ7ClcGtcg9nd0IVYDoYlgVROFVfnQ7oG7kVc4L8tip5rRRqlKV
Zc8SM9YC3H2Fu5pyWsZj/zmHNopzPDr17HFWSDL+ZswdSYtosQOhd4Xa9NEOgA9Y9U6jW61Ty1+Z
1XTG5LYneUIvtiFQJIaB19ZeBJrcybb5oBDpgu951SbWvYjBpfoTYfvUhQdhkxlLYR8JtMd6VMzc
VNzZMvisHQU47aH4sWpYtm6/00Mue1rNZsXMrwMx9yTa6G6LsfATOFlGljwPbnEcaSphJMmWVui9
0Byy6CD9YIBAvRVb35WwFfonYVT7wBo3xGncdZpknH9joS0qp7w1JUWq8dxQJxXSbpvsMg7AKu6v
Ame+R6RY1EZ3Exjy0NQ9uAu7x+wxrebZ2DhOszYp/kLI6FfU1s6cwubGt7sjPMSNB9dx6WM0rivx
ngWtgZIgX80Ym8lg2OZed8NrXaGFw/BGn72T75HVnSnm2TjzcBBOil2MZXZahYR/tNjfm6Ett340
XpuZRkXsdG343pdpzMhY1apFJGobT0OIYT81MOpOXXXdud7DGMtomds2gJbc9tdjYmTPqRlMq7Dq
v5JWHuluecxksU9I7UY+5gXZxLdyNlA7my87nNZS6tVVNI6bOpkfUt2YiRuRxcXs1xb2TaMFUMmE
/6I5zdNYj8chj1DEZe7iJveWnc6VkRqbaIS0OYRHq+s4xq2JfnVc5ApBw0IcqEr62MPwxXCOmrzR
5m5YeqO3zkS8R0sGMTbk84o8+zerN+Vq6stx1Tb6mz/PF73JzTXjQrgKDX2DwJUsApOgM5t0tmbp
GZMix+U0kpQv46cyMa5LcsMo+BgwS1K5UfthI7F0gvu5Nl1ah4HX4PxqXFb+hV08jJP2WI3lfRYz
sNKYvqqyGPf8NFz6lCHdmr27uajMVSYTedMgvVJ+5CY7S1lHHBKgWBF1fMQ/Bsv/2iBhsEv5Q8DO
dsnpuRiqQReZ3OH+lKVhsahbE8uwi36XL57tTX9dL+dFvvTf7m/bM70p63LZ7eKTvR1W0a7cRAc7
3CXnaPvPgPvjWv7XA+5b8T+H8q2WcfHvKzHFhPptyoWsq7s69jrymDrZy39dzL+ntRxeQ5eVpYXL
8LeVGKOsyQ9hsPXSBaeBqjr4eTF34V3ov/5h7LL+Hq3q30G9nlAdJw5LOeiRrvWnohNCWvk4WlNz
mTRCj8SradOG/ABxHRBfVFxiyzmTcIyuHLtBU3PsmxrOC9sOcWsG1m3asOIQ3L/HMdonPWe0q2/4
iJ5StkNaT41XoZ+8goeLQRK5t0ZwV+ZJZOiTpsyvGPQ3Qeie2kjblJN2g1X4wZ2KJ1ZSxHRqLoPe
gjwkdMACCG+JfMnix4nMPburx4bACl3dDLXZlaQ8kna+q1FZ031nxDYzs+fWqfUMH2xCYKhjyTpr
hnc/7s6Bn2LAMV/NkFt+1x2KwGFa8I+9VV8FUXTl8+DG0rsMo+pKUpdklvUZn9gTl5ldRPmdjyFd
S8tLoidXpQayVWKNbucVazZm7fY6iuQ5HKZlX3pbixYq6v/ghvP49L9a+gzXOdVUFArKw+x7b8GA
iO9YT0nSsyliiWG31PbOWw1IQF7NQMqbu6mdgOeN8SW0XdJMRHAS58Fu8908tbe5170Xxoirurgi
aHrqnXxnz/KQN9NO1tAcQ3C2SUWNNx2DgXqQWLeuGsw8rdp1Lo9PKxvOqWSa0SfcTUH6ZpbWrV85
yygOgOxJ9yK17hQa+WoO+30zUw3mareJP+51ETxa+YRR1Fw7BcdiTSNaoLr3okDUS2Vk4ok3oAfW
1ENOMliVsfPm9vhKq5q1QMVzKRwrnG3ICfkwvsO69dFAG1SedTv5A6JK6zXJjjBvRMqoaZKLNc8j
gwBldea2b8hG+DoO0V658JUdv6wl2x7E4bTsqkPhNMzvyr6vZ7p5Hu25Z02kwwEkgYjzk4Y6kqzJ
raEbBIBB6GLv2yUF+16YpN6aX2leFsY8L3UVIyDKVq87FS2QLiEDGk3h9ZM7iK2pXrGPoOvApJh7
VvEECtKNxUBiwWs6QVwKh2dCmiH2WMfMydegYg6+Ztxr5B5YHq/wo19m1roWuQiG6AF9Ay8koQlu
WmePEV/DDJicGxWu4N8lZkGci5xcuI5VAqOkd11FMqq+7eCJEdPAhEY1YWW9E2ssFkKFOaq2poHB
8q9i1Vnpjsk3X8OF31tAAXoVB0kN7zOs/NdiMh5s8iL8/BG+etHStkCYhNkvXEQqYGIX3NjAtBKv
hOpSkUIxvZiUVn4Ao/hojdOXdMUhIbVCO3i8GTX6HMmzxDONbnlWXyHq1CzCUIUMFX8pycEUVcSa
ASrm2oh6cyUtEz+IXjwPhJ5XbZ1/00pFIRmpnHCjsNgk6bgPtGybCNx//ty/zCW3P7rYLrFw36N+
fB+tnkzlmPO+dR0CEXjt3CgDLooeaNTUalYZbkvT2Aal8dzRmrjgmILsAjQ1xBognfh5CoHL+Zr1
EQc1VycWCAR43jXZrFqDwPQYCEqLgyeTyMNyAp06G5LoEAMPqR5jaXUsWeamuo/w1q5EMk1Uo/O6
j0HwbKpBM6gCl/eXuYG0i4TuD3xE43SCJ8rHshk8mtxM8ysXkNn6IFQUugYgVTwshrzeU5Dp8LP1
B+hZlzGn0Hwi9+bl5n6IBFysno2UOICDpvBV88lvQlRZSDGe0kjcDWF3tIvoXp9cCs3ZcRYkDlkS
DebKGbVTDKuUyHv60EQkTGPcwKvMrWiBj6K02DQDwPKlVgYYaOHfscXto71F+iXKemtRCE9jAQ8k
YioY2Ys2LzejNCAaTgirrJldfcxuYgpE/lkR/HDmKIj/X4htzCInGbf/c3mP2+o/LQr48p/ziO7/
Qt6BmdFnc0hoDiH+N9UN9w4wCSYPX5jmdx/Ov0yFGAoB0fAPPJYMPl/1cx6xfoH0z5cxqfy6Xvgb
Fp0/rwlYU+ge/0GfjiC3/d1y+DtLYYPU1mJqDC+0DC5a4xhb0Q/31n+dmyFV/WFwVjl35Dz+ILLw
lDvxS/1R18v1UvhVNo1X1ADvUdi59NLC2GzcfDyP5ugMsHmmdsv7l5ZLrUKj0zvPvjMg5tD9AmTp
7Dau32LjC+qzbDSvBgZoOvXZcTQxrq2WivCVqHTiDu0g1mU1iIqgWZ6vqREU2xFH47ahGnU96I6+
5fPFk64ckq3pYE0ueuc6ARGxraAxr2RJjC4G20sdYlMm2rbIqXK7K5o5+soxKG7MH0WEXgv2Ed6C
Kij0M/7XWq+AzawjKxfmHVAkXOA8b+ubbuSniOt5M2u6Deo/ejYrnStgBCSZ1S06TLo3+3qLI+o0
SEdfuJ12RXnBo52a97Xf3jVE5cOif3RsZDTPqVHXYutUN4R5rfpEje9eD8OU1meA2OHoHAegGcyY
at1aQolk3S54ZszldGhs8VIlCRXHGcqAKOtLEzvJjuf8SY7iPXLSiRs/pC0rIGnsZfonjTbZavJ9
1qcOKwwfemSIOLDpxhH5zwzmYz1Vxz7QtmOe7jotDrd5Zjer2JzhViPYDPE5R/9fBya14Ax323lu
9gHX3ciueY5w2VuFWsqAU9L5DN+raEeafqL8rmy6Y2QqN9EknI+pT3keNuGw5Ha2GSveqoAB1hYW
UwaPYgXCaT9WNcInK3I94aGUshrB/4a9IUzsO9uaSoQji/7nAsAg5B+D3iWLrcXUnWun18hrUjZN
zHNbZuLTcuQ3RFhvS/AiP5p+TjwmSu34piq8HHe8FdvU2GLcdimy8NlqbVEnP1C+9rNDklN3HzpW
KlkUOFxacSWk0ABM/QTD86YvACYSDEyaYN1SjJk7cMopnN56Q4dmZfIXbxfurhX9k66Ak5Ud4jDw
XzHunrEdYGJqxoOdieuZP7TX8fWj68wWppNKezNa4O7auCd6eTIDrGXu4xi8lt58oPXW29jY2BrX
fqhnnZjK+N4zzcjOY4dPJahtTNdhkOjsnVOH/Lz/koXGi0n8ClyLfvKtAqeCdaEOYsqtaBnNEg13
rjdupN17Y/tgpT2sdTqq7Si8tnrsNyJmaM97WtHLdM+dDLhErz9WWnSP1vegVSVgsWGjZmXDHQ+1
rx3GUcyLNnEO7O+2mZPxaHXblVnqpFKk1d1aQ3Lg9zvaiXjlaY93z8yIzJTsCgwYBle5Naa7UcuN
l3Lw3OfWK9Hcx2kKHvIuSG/HwG25NmX6Gr4eJIW4i1a1ptqksw69pKPqvDY0sRr4WCDQ2fGVtJS7
LWv6gAR/5ahPGAoBCpWvRsI68N5nB3ZVZDuPGtPJum8drjMVbN2s6hed5be8mU34bJPMjlRwALcz
7NtO4Hk066FehX3lLXQ9OdIzfJdXKTXiA162vmrhl/rWs+NQLe/0q1rCh3LHtjh43GzOQUWCaZx5
0qdO+W6FSYJONkV85MhLWfa9CCtUxmRKMTSGpwQG1mJKgxu6Xd/l6C+TAEdKAhQ50MQdxNMX06xe
aY/Bl53s+qT7ghtwweKVsKaIGHiH7MVI5AY8zStXxoX0kNYsnYViMCQAJ1q6yhLVxBHYq2mKAY65
66Q2vrEJGLlz2BjN+pfeDOjp7ioiQvK1xYlVNbzM6UC3gfukF+0jViusdSXS5Zjcjdl0Kvxh19Uk
uLQheQpxCsUDH9FxPPdU0YR5wICdObddN1+I576MkX1VJtbSs/qngbWRPqDHuHO/6S1uN6OghtMi
0OWkr4iucP8SZ2slto3Nnatq58X7sMUkSisX0VrbudNnXrU2I3EWFu49TphDZzpg/mPxwpOAGxuV
bxq4aQbCblcmIf45SB0EWHY22hjHzYop/2wW/PZ55J486e6aNDzoMNX8ivUT5LTKSy+mDWA3Z8Pa
BkTXjfRNo9nJHuKdzCCl1TJ4E1164O96Fc8jbFnDP1hyumkrwY9ptYdEaLvGdl4DQic9N3yr6+8C
y12x/5s3ZOVL7CnRtbDGL6rUAKqRPBFWQuoEw61vZ2xj6vu86OZVWpS7PuzrHX1V04kWpFViGCd0
yVcnKI+i4WJgGGWH8ilYZ1nWcE1aE0m9Cc116jXPhYjwwwjvInwYD0NR14pmD/Y9GvON7TgfcYYp
t4Zm9jxUDu8XnP3rSeCSN604+zYiGa4MM48w/k3GeYja4Ef45b8OIUqb+5cPWY0gwLco5GAKYfkB
pPSPIwhUDZ01VKBdJQmF7Y+p/27ZP3S5//e3+JPhYuJd7KRko68EdTkON/jqMibXvxszySZNYVn8
vrH4jxLkz1/DUbBzakzY2P7x1zDghrLhjMOLGHjKUzTYUXB9r2mrv/426GD/9rfFopeSRagvKu7y
x28TlslkumkfXiQ5tJp7Z0vJu1Y/SOt66Ombb7n42D9KX/9Bz9k4g/77VeJeZm/N578rmuqrfrtB
uCSgSThzRbB13zaZr3/eILhc2GiWHh54lZr+XfcYJCn28viM8Bv99P//vEHYv2DF50nloT9C7LX0
vxNLYj3/h7eLLfjGdJuB1VQNZ9xY/iSMM5WLusAffQX0lEZlTniUQuriUzIlomeCbDJlmyYxWAbn
mDrGla0P7bIp+uu8LfculKpFS2EW66ialsL4iMXuPLkcgaxV74RIv/VYTbn99ghC2gBOcTDO5aye
QMIJl3mr8FaCc59FeGs9+3UIviLyLcqDufH72ryhM15jGo0QP1AiXKCKi5h2e9srXqupfOgjJtuy
ozAycBxQ9N2+gI/V+doTHTFHHnx0psXnPo1OXRm/tqWXE4JxrxvTBvsaelC3mV+nDOsMp+RB6uVL
PomJfI9JTIGWmmWdDRytw8NkVM0abN7GsuZuZSSQN60hzkhGe9/qCLWEoplT22X3Q0F1j0dI1k69
W2D63+rWv44h6iKjoAiJMOnWwUABWdU/gx3/oNbxJaiNC1uxD9waOBbSJlzLYmCWdPNrFKYdLZ8L
KwlfM4Phpcq8ajXAAMYEUH4Muo87knBoPjXDojLMeTWRyNxglWiWiO2nrk3h3wenIqTRLa6azVQO
G9EMFJD6OzXTkAX9AsD66ebNvck1AInvOQ9nJBjVksaL5IvGXgwD22tDJPXCGGvnxunbc+SPXxnd
0iuGkW0JkX0pG0wSCDBPVmjfWh35eS9O763Q+JKG07PCVV9uS7khYPWcswFtS/Zfju1sZMeEBhQ0
2TpO9kIdULoxKglByRZoOLRa1jyAF8LSqJpJN8KtmJs8sa27iIVaysQmK141oC/D0rAd9DBCAzWD
s0N2fxu01TEO8vow52m4ahJ0WjwMt27GuqewN7K2ajZTAZjkFF1IdCMbq7lNWFLxjrNpQVt6M2/i
qeU1zI0qXA/NfMdtk+9aeExa/SYQ8m72zEM8pCZU5wyncR2wZMuYspjVP9huP3tAGLBgVe9CLxsI
MgFkUgpfBxHvcD+Q8NWinYDXu9LctFgKUW4dtrK6gKnIjZXOmmiYyB57n3lSnzAeQ+Jvk2oN/nnv
hNMEmBpqW/i/7J3HchtLmrZv5cTsS1HeLGYiBp7eS6I2FRBJlfe+rn6eBEmJBlK3fnCBP6I5mx7x
sAAkMvNzr0nwnCgwSFJLEMc1CHmcYb5XDZZRcqkwVB7z8TxhyH6kp1E66wm53kGsOr42i6Lui2pH
ZUvpXfnBZ5bBrc/U2vK6uRkY2sJEHD+9tpoYvQTyQWyknTKu/CkMQescKFxgng8FSYtW9N5tACKj
itlCE4E/O80r0Ay1iRR8BxSI4ZpvOd6VX8iifjP6CwpqtIiLADkVq9UMMtWYGaYNVf6A3ijVWBGQ
aQDZ02IEVgccLbr4Alf7vgBkqKlfo06W0bZNc9F4jn2k20zrTvZgrk8jcyiTcYJ6mSMEZXWjmAeB
annXcm3F1a3qth5Yb21UKSnkxHS/US76+okMpV2aYBDQ5P/pvD113khGfh8u0WX852SNocD7iKnx
h88RE6Qb4FymbAQ4IdbKr54jJr+iywWB1nI0oHAvibzWJ8i6sNS4K4iaNN1+9dysT3jK4YBD2vXk
cL1Lz00Q4WDkGSrTZEt9S+MFJtUUick4W87OS0+fDyiCv1iULXki7/RlAkfEp2fHiNHgEwot/jcd
N7OzIq2xmuas0kPqIPDqZ45xUekrxSWDQ8xi/ufXU9/Aje13ryje0Ys+oooQREBS35yFeQP1YSOb
N2wk9DIPNb2uzOzDtga6ZgqtvcoEQzUUWJf12F/XSU3JKLT5kABUD0wNYv9Q5PpMqRCZ1Gz/2Mji
z6mtRtO8lO9bKfrh9NLXdEzOM0XV0YlCOwrTR6GNHiMhAikAzQyJkgrfT8T4zGVFcF4AEtQWHj3F
pQs4YQp9LZxYJX0MoLt4CpNqSJ09zZvg0mauSh4G2i9oj6XC5VsK8Up2AQbBkZrpA65BZnfhYldH
Ea2tskw5b33qKhubOBnBkij0jjL05wGN3ZQSRWybfmtH7by3/FWLx9dcqatlUOtLPbcPfeL6xDeJ
qPQ+CTT+cJI11nhlgZBgmmJALb7KCt/khoeipKTFqjB9qb4Yc51/aJIS/kjs6cc13dfTNBkB8FTU
dLRIC+QI7GMTkLWkJ8foixz0EYBrxz2V5Oh0GM0vaFxxLULbnTgarCk1uNMN+T6WMmPeGfpJn+tE
AW3WRvlx7XYgU4YDeFfnMjYDqUtZ2g/HSJkdNzYu3fWYyFPP6I6qVv5SYE6o62jIJOl4Y8R4HLrJ
EJ0GTXqeRjXGbOCGx+hQzuD+9bmJGlNN6lH0UCqqFnEmHaITYLcbYOUojEiyt1CTHH+jpquXsatW
F3ZQDMfxkOFqA2MiThisdWe6b19WTamgkIllou+XCyVPDt04OG9S6aprUV5HHGKS9fHcDhxkH+p7
ywcNp5ghbtDd3GmSBs13ZUYpOdPD4aKG1DYRGpYmqKyubBdA5GYAniaJIs+yLAOIop8nblFAbwLJ
U8dRe9kP/iUSywc4PcwQjPwK8mXaW0Z5ncvQoEJAPqnWspucJcZSANnxS9CBOiLE/yAD2ElhxhU6
LvPcYAcqDDMwsAF98Q7sjnfuB+2JboRYqyXLXjbmsZUiNeoeVVVGKwCVCfJKo5JOKYhnKvIXXBQX
A+IzqOswa9V0d4F222e9rITNdTItBConNeJhFXWYGpYxymaM4oCJS4dRNV5DK0clL66ZX2ZXYSvP
GJqzrZF0mza2unaacB1a9klWxOGkD7F/RC5kwJ+bJN1wW3u1uWb+UyOKodAfgl7wUJbr9xFP/NXP
iCcMWxCvQCrLeMKv/Ix4yieiGdAWDQMWlY7tL9SL8wnNChu0NUN+DW1yHvhcIzqfiHREKYtbkUYA
qhZ/EfFU8dZeRCQRiVCaJBpphvCAcTZE8RfxYdT8xFezAPdpG918NxkZ9SjfMu8eUfAR97ZJiXdT
IEycAuytjrucfy9xBTFxemqKfEGf9TLGAQpuMF17CQ/AyP+alsYSqfNLLbXBQ2IeVVm3lLvISuAq
NeIuVRu0fD1hOKV6zU3ep9cYoxaTxpEpBqgGZnKQ3yLNDftPPTIGgH/4WI0+FwK+VqouMWjqa8jR
6Zy2pAWmNlhVxO5JiCsWcMlVJ2yy9KgWF/staj83Iz5aDn5aAOYTBObUHxI8vKJsPkdIV010PLhK
R1qMeHIFDjcfn2yZO3i5QfalzMFwQnPhYFp4etWgJajJqCdSfWnh+lVWLc4c+IAVHVR5oWJ0MAqT
sM7Vj0I5piPYSSs8HpAHxsYGPQuGGXp/oG68xszLLm8ugW6XNzFuZLGwJTPR1PN8+YsM3hwLcCC0
cn9CHUSd5lnS3MDdrG6R+uvxO9PxPYP5QusbJ7RBuWeO8s3DH22wjQ6wLJZpMNO/RcJELS60k9jS
HzSLa5M+1s1GO6STQWdKXD+1MGPDvsdE3HlYhfi02XY3z/FtayrWzBNWbt2jrVvEwK08rXsgjXPX
CrNlbRAqmScEAzOPXK4PMtv25rUFPlRRa9rgRSaXMIkDHSh0VYGmXcdt0YG0NNQa1qDcJ5Ne6wZ9
ild1OUPp2IfvxOWd63izNAViwJl2l/plMZFclG81XaJjoGb8r465wFjdmW6jT52o+GHT1YRMHs4G
Ii7zdWbvnhFdWmM+HFmadSr5KlhMNecZMuxnyf8a9/ptavcgg/v2CiSJD5IghyZeGPdhXv2AxPow
1lyerRV/9kydraBpJ3JLuRgxly1TKZjjiqLN4QXh/qN5M82JVrpf3tqRUS8QyIrnhmvfDjWgyVxn
Xmda3T2xUSjYUS8NCUz2NKjsqRw63knsSacetuuz1PMOU3Apeo+McMJ+YdCDPPeRmabLMMsvWg21
BFjaN7mOXouJ7SqDrQmUKCS1ZfOLK4hbBv9iK90XbywuAjeeDrpUAdm/TQ0DFNUgZUfI0YzBjEdR
uFnRTCKBQS8Y2JDkV9O47KmCO5NA7xeXSJx6B5HvC6T9KVCOwz7Nf+CtgAwV6BJ5ARyuvPtPXNlA
KnUayH+IK1m83iaJJP7qZ1xB4N7RFDy7zGdc5M+4on5i79oQDE1Yhhvt+2f0gg2biAajDAFR1sBi
vqik4Axp0BGJVTo0SI1A8Rdxhe7i27gClVIILIHdNPAilkXH/EVc0e0kLGEMD2d27ZXnVoiqA0qH
1tcs1tXDoYui20GprYVdt/IJEuLuBJEdf4aAx/jZcrr6ypezmKm0EhxxvblzS6pLMGiFz3hPPo1j
SECtEBc1hMwoPDf+vqXgnCGICrUgQwFcQh6jV0cIkbVfr5Rci0AuyZydFCddeaCJWeZV/y3xfe+Q
LH5EwrYOZ8hpoz+IMD9j7eGzoxZTrEjXg5tYh4AA7EWdSd1RGiGoWmZdP8XM1MWTTD6jrMuQiIhA
WptFNKF0AGWlonLnaDVdp3AU7PEwfMgHpdMv6pShyzh6Ao146/eeCxyxRZ0uPwwxsp72YRodqKOD
IxbR+9xTPHqJA+58WrnQ8/TCyArkY+VaWtamN2KR02iHvg+gP9biI0UqqgNKGGcG9U9fRnGqz1vM
TVemQpxCnYCOYZJTH2XtxViCPM9jCAdYTY8TyYAgGAEtUz3nNNSQLmkHVkdqJP8ygJSEAbGinFWV
itqL1eUHhV8dggr9RqhHwDYGW0ehFc4VHMJ9rxhreFV8YZC6y1ksrMRdPMVDunyDMBnvcRtPNrbj
woC8FVbkPZ7koEkBkskeIzJhWN4hL0PRdoXR2AVOcNok6vul2safVe5c51gXxucYJ5y1hXKe4Ygu
exVOmFC3c9qWvUpb0cI93RU26qYwVAeV5eGQhtyFlSZHFa7rhoH9emV2Vy1eCgxU6AVii6lPsLU+
gwizooG+pGl1HPbOCQCWpa9QQY3C6N106Ym54WLEAT4Z6f+ZeMI7Oj5qo3CJB92Y4xpPjkdvFh95
QhS/wVk+UcvvWsfw0MFzHg/WJcaXN7CmBBouxwUqrxKI7ijQnRYRmv5ThkHNnS5Id8qGf+dm/bHT
pYyzrSSIjhUajA24fkQFcsfVZpZS9seeqQYH/7mMN5exwbTu95fxdZPFTZJuGwXxd8/XMfMeIffE
lasq5PSie/XzOpY/MRHkomZuZ74eBdn4FkHulBXVFOMjDJd/pvkYF/EP3N60tRznL9N8843fiGgD
6bJsos6hOrqubWLCy+tYaQ0anviGnI2Gf0hYgR2XMWWnSzymYYZKIvoToRuf6HkcLeDDr+RGWQZ5
feY3MLLiELs2FfEjSQBmDrsqX0eNfutWHM60PulH5dhz9NXokypEUjZMfcu7pbdzgUpDNDeTBKN2
05zq/gC4IabnOtLhPUqGWJ3EEeMPO6lRxdD8o6bJ7OMUmpPtC45e5siTEbZj6UTfTcQUNFc59+mq
QEyHCeOEXzulFRI25pltgOdVG1L3CAz0GdJD92aWoWyF1gz4X8ucBm2kHCB3cVzX1oHmJtcaiR10
shNQwIKWdN1BpgFy4i0zszkyDTrgWWueGZl1GNcAmxzfuNGY6CKS963zzUXVMiIouW0nnWOfk3bR
6wAI30WnYRcucklxMZfAHQSGPnDyUvriJGWOxVs+k43w2C9HzIPJSUkWmWoZeC4m0agA5nCShRQ6
33qmQ0bbHOvoPZ3mxQUJ8CKB5jlYSJ4b0DK1/nKghMCmGGksGECa4k+Z5n9tdfeLqcsLs2mYsSH6
uqKr/j0YKLMkmSuc2mSi9OHpgLcT3hPNhdy7cIgiM/lc6Af4i9g1wAvuX62w2lNPhpcAv5Pb2Oym
Q9Ne+VRj/G+E+CGqzeoi/dzwNlzC2TQKpH6C/vrSCGTWxlamGSotRcv3EIb4TIayHc+ywUZGZNAu
Axsxnc69p1kG+dc0r/XMvJQol6eI0h872FkC8rWANOVIaQSlfynBazXCWqfrCI+2L8Jr203vKFtn
qZtcYIVzH6blZ89htmiqRofYUmSuclfpSOiZ/3BtelO0uhaaXuO7YsEKxsiatkozGx1BFIjgWbar
SNXiedr0yLigWmUbRj7TTTDNjKW+Zlkyd2BFCmlZn+FhFeCKSSaR9go9nAqfHQnNtcnYA2tDBzA/
waUGWFd06eaNPdXlEGfPAOJx0ON0mDRpA4YJGAdtr2O0rKAnVl8D0zqme3yZtlkwtQIEDiRlHJdJ
ipZs6pbIKA0pO1NTv+VpcWW3fPFG580GYzyVGxenSUmZaa0BacG+bDp31WlIriiue2Axy5wYbHrA
ivaiH6HflQpxTvWiClYZTb6wgCEgjcPa08ZqSrPKm8as6KTG6o6CcyZH5hyQdA6BIAnOGHsvAbEn
8yG6BPKFnSkQaG9cS9Gwrlvz2uvb6yhGRr+3z+HA0IHyIJJ0KpAVLZA+g7pKactZc2EA6A+teQhh
jxmnmARCefYQTxnWfK/DoV4ZQEcJjGhrajNV0h/UvsIXXDrp5TqdQyNI5+Rz64wmwJDXxhRH94Gv
i6oIGRlrMpQZLrBFd5VYXQamvVaWLgmOCKu8nxbj2K5hB/LvP9SYqm4wYncS6WDg7Vi6LBr5oUrY
ErqZBJi2WDd5WZxWMa1wdNEf8pwsAfHuKsR9Ek1ofc5oF0akEi7QdS6PXYU0JNX5tlnxoyLlQ6Ov
1k6bOr3V8TNYZBJ3sBfYaJa3aDqARFm56IWtMgVvcpOeuMPVqEeIkIGsm5LRnYy1f1YJ80iGKCRi
gXaFBUcHABRDoEpeknZf5yN3ZaZcKV6hTrMRLWg5s9YeeVlu+ocqH27WBZS/htzcoLOsTGm1FFi3
A8ssDTZ1VLm3rTnelnVx6Ve6t/JiCTNEpRGEnQg4U3OV2+iplxHfryYBBtbKbtphPTPxkvJ7WFJq
cstnvnPGRbdEHyiZqHp1Ddfhc6TWX8oCmkccNV90Z5RXitopM1lWqSyrEH6x7RtTHPLwufJA7EBW
OSir8Co1teWYQ31yI+W2i8DPOnG4MLB3RcgjEmZJJiNL9XNrXnTV4eh+7YIj3dcuUsbSNAU+h1Jy
E4CRpXFVL5G/xnKW3CqPlWolh+aDwkU/V3rnvA1MjrYO8VgygG5Z5hjQzA3of+n6LHO64yqPL1tH
XVlIsQKqGObjoFzB1jnys2FE7K/5YtXQC+SiPizq09ZEts5g9OBBc2VAEczizAmWKk6zU6MMvijD
uIzjMjxOJa5//DROnMGSFiATo4VW9+FkVDSNTrfNt+Um8y73DhG3kaYVNqa0wzLPKRBl0tQVSoIP
dpD4J11aT3TkYBLD+hJmKABigoGCeV2Mw6niy8HUr/ieLaYM8D9qxqXos3F/Hbr1CIUS/7AzeZTG
lQsa8AAt51M42ra9bvRhWI59r3IfY81M8AgRf/EWiaGcqLlxwG10aAIliWwdK/saXKRU6pi/Wjk3
RFt4E72SVn6hn9Kx8lapLz9og/yAU8x3Qg6IUSwkBlmaJTaAM0oFreY9kp5nMwzVUWXBwd3w/CUY
BejDLjx3JGq+AmJr8ejDSL6jziiYStEUwk+1lYR0gHnksdj5dxTzFN29RKlqJUmdSscc2EiOcljQ
JMoUCbIblp8orsQPeR8etqpnLXJIWmVlLkO7ovuiWekCIAsgAWxF4b8D8FSK7mtaY0Lbx1cCVmjG
xg2S/szIQ+qAMTrodHNRBjHiXEqCMlm/UOoc7Xb9jsv1vCZ9n2LJgiK5WVwi9b/gglOWnU4i7ygV
WoSYRFsjQgYmdaMTJmeWQwcqcn3IQ040zMueliT3foxp5IhDsIn6eg+FKDdxcQkydT1iVILzaofC
DO03pIZOSXK/lmV+3FuxNc0Saa7gm4LN6y2hZdF26mVZtEec3JWlMvUBk3OTjwBvwiA+6RRCbaQc
B2595MbZFyNXvnYu0G8g0V8qtT/JmOtDMHQkJkJQJx3D+wzQJkXEPT4Yg8NSL096z1vknRrNmsC+
8I2cGC2ZN03enow9Ljdp8D3WDZCnoOQrbThGY7RZUYLX87Q3TxLFRngx4SKUEEMwAgYxhr6KMvrR
8njUlJrGfIv6yGRyFnZJcq5Bk8eqwZZAqaKU1/rgt+Em5sBwVfDRSTpM88rS0TMtVxWmzLNSDr9b
HTmM3TfnVl5pS6dss6XnVNVxUjDBLLQOZRDL5lJyKaqB1jtJF5JzujWHy4jtUb82a+nQDKxkafrZ
gUO2Rb2ZayHiy9gGBY/0jf/MXIw/zlw+467VbBu6iD/7WY3ZVE9imoHAtGJtiC3P1dgGmCdQmgZi
4o8IhOfmmP4Jbwic63UdHvCjZ+Tz0EX7RDBXKeE0gTYQ5dNfNMcE7O4X5pWRiyNoR6JMtBSENnTR
OnvRGutlhKDLMgWWJxBoHHkGIYitJv+C3wMQ4v0LGXCtdSCpzHZkXbyRFy+kYPVYmKGekxkazk3k
F5KJfVc8jCubaRUaPnXa6AeAnMcrXAHQcjUV2Lc2tVuehfZhiezukYIZ8iS3SqM/90natSGjSjIH
z6qO2iistG8tiDEbb7uibXGrQwClRS4fAQ8pPuuwBFHmQZ5n6jzr4gbHQQkuwySo3PQr5D5nLqSE
5FmV3hmx3uEyn8dneoPi4VTJEXZYZG6v4RLVTKQYYhBT/y7TzuRWMaLjNg7PyhpkfpIjwuU755oi
PxhVfp8SlNxKvrZATWOhvTQkMyNu8Cno6iOP4C6cBFXS5MAdoKpqURIIAYVZPBQ/fNu/ZHh/qqj5
j0Zrr7AOI+LqZXhrRXgrOl7UnEhWXsJKNczDOKAhBIUTa3K1Il2VtB96WGEy6MI5TOsiFw7mqHLH
kjFXO/uEqcdplVZwV1W7JeUb1WWdWjeDIn2NVRinWejDaaxrT2X+BFaCbUHAB/UZzG1dPKJWEQkx
y5tSr7HPNe3Uv8R+G6lfOj7MwWTUwBAuYhVBhE+qCGamLpXoyWJvWSBJduhLMLZftELO3+Oe1Xfj
Qxhv6FhDVQPSKmCwr7dYMZSF54ExOSUArZG1Va7AR0zQ+kBxIV0h0cggZ54srTnd24lxqC+0ubpy
p9G/2OsbR7pfZwoANq5BollC54NWB/Hs9fsweob6MHSzU1L7wyFG8yzyCpe6hmzEtiJnXrSuwFGY
IOdwdjnxrNI9VPiOzKhA+tgaTh006ya2On6r+8xZVKoLnarOF649frMMTH1Cl5mTO/Zfiji3gKsW
2FhVoTbrOxfVTR8pVjzc54PmLKHqwuWAT4vTMq1AZzVqSFWq6lLXDXjhGF6AUkVCKUlXGK/MMtQl
J0gHzLvOO1ZxyKRCwJ60JctIkrCacYhPu97RloUnRGo078brshU6lieUVjIVZ76UIzaa5RQI6crh
1Z+/4teXiIC2W5RygJZ0h/6RtrG3fnGJOKPaOXnilqdym4RLLgLs60tiuxT4cyNjqqkXHjPynw22
bbuKbtmLG/L9a775NqW+tcoW2+jTwtNu0c5j1OllaGRZKz1pADW4aNWadFMsRoRGDM3b0NPheCzx
9sPu9DgL7K9yUBV4HUk/AAWSzhUnamZeyO54Z3jFt6QLilmB1cJ/NO4ewX8YZPz6BmdrLJgJw/ja
nOJ2+d//ddt834KCEH/zHJAR+IBLq4PaBcWnbJQ3nwMyv2JfyQh/0AkF+A6+/jkgO/zGAZsgtF3e
GHjYaInYoCr4lfAF+TvDS3i9rzYcIZnLywKBwCUmjBuVNxsursta7rNePqvD7CtK5MbSjDTpSJUa
slmMDhm5cOaaFMGAPnKrRYaB8LSu9MMyM1ADT3uOtO4Yx2UJ71y3I+HbZC7brrmK7T4/KUdpmrey
TmPtTgFFNcOdnfkQIhCj2R04rr2gTpJnIHyWTQXsKHXwokRX4aZLy5Ue+Ok1tyz6EHl+h/PDUdbk
N6WCaZ+eoLVtesVdPGDfnlV6SuLerfq87yGdZX56AYt5qYS6fi5p5pFrds687mR3mnSSi1ts2cA5
pWhx67XVeHduYkP8GnCU9VASPUDEO2FyL13W+GCdOzj1ThITXc5YAzLu4lE0c5HrmHoSWuipO9CZ
1SGJOtp9FZik+MWpXQeUJH70NVC16zpz8pkUqg85/n5zd/RuSiDNAcOqBjHySUK1gxLSPayClHGz
v4oc1Pbl8KSCCJek3lE4OtcKshOwG+Fflqp8nVsUgyNfQu3n9TR2XRQ/ayRCmwpDSKv6ane0Oqtc
aHGAGu90+dyOdWXmu8FF4ICWkpLO7g6HARIa9PwfMiNtmdG2PQZHrZh1a2F12ZjM03uDduZYJtXU
YjQemjR0UQDAVx7lQzB6qKaljmqVCP/GVYQ9M3ZZQVrZZ46aD8sYfOSEavkAgKBz4lXlg1q0NC9G
y7uQGhB1Y2DcOYydTotB/REzCzKp5xiC+aHqnFIkekimYijqRlBOa4M2YQoS+tBDdcWno4wUsX3W
SRmWCibdcm/IfqCKT8dAgfBQqqd5lgNE00Yyi4A4ozQZWlOGtAz7lhCkNN/M3P8cRVGD57ozxaeN
iYAKu7DCJGYSMxuYIPP32QLZobjZ94Tip2GCfKin0oVi5z9o6c8bv182IASnKdnJVEZP5sCMi4Pc
TA772pjrnnY2KNEZtAChRAquUc7CL3Ln3hgJxlh1hD6qL1k3Ze0ZvG312M3JpySb9nVRJEKnQb5M
hvpQ7oJlEYWXQYDFahPfdnL5nelvBkAPkZKhak/tMmpmpVDXz+T0xLBZXEOXDttY05emTEBvMCMF
WGEdy4VyR6zXZlU9fMk1tZm0Sr7IK9H0r8diNvTtQeSOMjqH8mkXd9991npuark7Tc2ggP+Sf9XS
/MRB+8u0s0Xoa0wx0C+pZaizJUgkKe4K0IVZxviyOeqHqEAVI45Awhr3tZBULAALJXZ4XLilOg3y
hLEjKQL6sd/ssDiCFHejRONnRaoueH9wdHVj4nQO6jsp6iNqM/PGtps5KBTaBUQDTGEvK0f7NtRO
fubpfgyMVuoPacZKB/SA8N4DyNNGxZXeSA9+Hl3aZmpMc0xN7YmuudWBa/GUsfSNVUJdXLqMU0KN
8j1J1ItQpplgazrS7ErFmDizImwC2cSDHbdT+iVnaKAxrulgpbt+HE16r78IETZAfkW+wzMknG7C
y/8Hte/TWxQhcL6JgBfNQzlcPlQQI6rnmlD89jwL0vo6+3/7j/78oKfYez3kxN71fRKkmFTWZXBX
E3A3b+rg/r//C+QDheXPtOvne9q84T89Il4T2Zt7nq1Zn1QDsL6j4Aoqfsju4yz1nn5NuUCEVsAP
KjiAbH5efo0/X3HLKvz5Az4u55//m99/AhKIX6vwmL7IVL5/vRI858VSbBy2HcCYsPrFD8j9V0sB
fYF7D/1ehd/wWi82yu+2wp8/4Icvgqjddl4EFTA+86HHNRASbq8Wgf2gAk0lK3vcevu3CGIL77wI
Gt5JMo2VN59elUHtbjC0j8fl8aX2cA3eJvObDfov7oVXpwGjKksU/Cq4r83P242g6p/oN2mWqfJ3
e3gaBO98541g4S+o20Ca8AYQP+8WQf0Ei4i9sp9rQKOEd7zzYYDHBAj7aQnEqr66EcSZECRkJmzP
EWQPtwNLQUW481KA1ad4pFGy+XkbIbgc6VFZXKCPF/EeXgyPG/VRWeFn+P6bi0GD9q6oQKd/twhU
+0jVU2ELQav93Ak0o3beCWDB0EmkcbH5EXfny7SJQ0EnxGGdHm/iPdwJu+cKpALiI3IefrMIUEFR
JAcg/pic7eEiPGZyuxwHtB5A/hlMex7vhLfXo7gTUHkzbGVvF2H3OMmdIAi6UPPengNyZrpncI/2
NULCrtr1MkAjRPCrDDqcW8OC4D1rDCwsUVLs5Y2o7BwbcS8VfV+dEerbLYCzs3BPJo16XJ59XYPd
UyUdtp8K8UKnMBc/7/ID+5MKHFi3BAuDn30NkMruJZRKUoidLRo3j7GBkPsqQCrGJ4Nb01Cos/Z5
KdTdrwdcfBiwkSA/tVjeLoWYnAgxIFl93DWPr7h/wVL4rO2YNpnCyZ1QAUft8eftrrAJF45pAk7Y
01tCqC/suAjch2RFzLYYUomft/sBDzsg/FhK7+1G2D1/Nj5pENCoIR5P/7a2I4gDhzni4628f6fh
HW/8r1ssopJiKkpchLixbSNQRPBLmWbcY4K9t+Fi9zNhfuKbppPyHDnZ+q/DBW1ofkdNua/74Sm9
36WUcD7RUCM1gKK/+XlXVKqMxA0F1YB9LSqF3+aOt6NG4kCstM3f9VjoyWF2D2Blb4/D47ezw04g
mdZpMgnZ8seftyFCtBeELyA1xZ7GyacZyQ6LgIoiLRYKRwqrzQ/f96s7gUWA7wY05KmE278Yoe5c
VjGf4wOyBBAOty4C7QXHxLUW/vVzRrWXFeZTHN9lP9BugmaO/9PTfnh3KMij8fcRKLY9PRRPHdHd
FkERF6MFs3/rfsBNlPQaVQAxq9jLnfBOlPXvEyeyBcyiOBG/H1pjCGfTcnvMVPfwZti9lrKwzTId
8+eo9m2zgesR8yyHXsNjermv4VIYiO2YM9CAo/2mo5X0eCi23Ayo1wH6d/Y7kRa2u7stBWNb3dnI
AUMpFz/vunHyJxaKO1LZ16MhAOY7LgK9SMoJtsTTIrDDXmcOJNIUn5Am9vVQCJ2A3RaB9AnhmA2d
5beHArVNBGT2dngtWsk7LgINV6g4OnXjbxaBAT55tBBp27zW/kUKbfdIgSSQxeAaOdbHO+HdcRCX
hvg/OjLiZ18PhVCu23E/kC0DMwfM8DSte7cUMjeDkHTX9nVaJyTod1wEDU17GQeDp97b++YbqYVA
5OPgua+HYvc+g8HBV1FoEG5eT5v+dYygxGaBgDHs7SLsnC0QI4RkJXCOp4HV27Ybowk0I2Xmevta
Ugnp6R2Pw6bEhhXyvAjv7gRihIqktaPv7cW4e7bAvA5XCoOZ3ZtciWkEni1Yxz0vz55eCYJju+NG
QOAJSjGonqfg8HYpOA2oyjDj3tsGg7Z7xoQSOzciwn7PCOA3+wEwA2UW1Oank7d/GZPwdd5xJ+ji
MwrAxu9BPSbOioJ2/ZhS7euh2D1ZIBcAsMBI4mk/bDkUotNC221fMyYhwb/jfkCqTce53DB/N5kR
5EcB7bAeX2sPD8XuZQT9eEvHbEio1YmfdzsBuB/UALpy+5osvOO4/n3rkRjBaAao2++An6Bfmc/Z
1NX7eifsnDYyngLhTFKA+Mbmh731OndWP5ExyPhs7O1O2HkRmMw4tpBapN+2+eGqfb0IMouA3QmS
Zfu6E3ZOGwVLBGl7vudndsDbRVAheAP0YlC3p4vwTovm7+8EmDCgNDTklrdfjIIzhZAzZm17Gx12
zxvptJEaIwf9FCLfHQeiA3o8BoI8e7oTdAq/HfMEofaKywN8ycc7gU3/+k7YlFmIEAhmGa+1f3mC
sXPyTHQA1IlR5nMZ9a6pQD1N6gxF5HFcs69VtVDY3Xk/0IGncSDYqa83AhenBQ4YZPS/vxH+jd3y
k6A89TFv3VCTg4dqG4P5d//BM2X1/e9fcG43zONX/6WgKj+++CMzV/z///OKuaxudvuL3z7v/s0r
Pf3900d8/+KvXuz5cz3/4wqXlnV5hxDBhhv99EYflUv+N0bA5H79ljEshujP/7aFZv0yW/7z0/Ng
m3C0IJv9+qhvONz/9sOT9X1WPj9IML6fuM7smZ0fjr94/fD8nBfP5s3t/OzpOl63fCXV87NePJ8r
cffno9ddvftKme1yq37Aw9O6XP8zzap620twknd+idlD/M9pVm5df6Ljzs+fx//MspLN8/ysF+tP
kNv5+YvyodrmXiHym50fvowf0vT5OS/e+Ecc11WTfM/i+/r94wUDZue3fpDkD2Wwjp8f9evdC0bF
7o9Phy3fqIDl7/zoo4dyy5oLjMDujw5Sb8tFoHzEWT1eR1vuMAHF3fltH6+r6mHbmnzEAT3Oqn/+
N/Ue4odtK/MRR/Rkfc8F/LwOLzbiRxzRk3UZbFuajzii4tnIMm956wJNufPXevKQ3md3wbbbS6Dz
PuD55d3D/fODfq27UEnY/eEZ7/35OS+e/RHH9CTbuiYfcUp5dP1QPgxb3vlHnNTTdb5tt3zEOT19
aNfvc0fMlT7iiJ6Va66ALYvyEUf0PF7fPWzJHcU0e+d9eI6S9LbkTgA0dn74ZUDqWAX3W1ZGYB92
fv7V+q6kJEjrLbFUgG0+4AXSfyYPuIFve4GPOKrCiXlCwF6X91svMsFR+5BPMQsevG0f4iNOrfgQ
C07AXVDdbXuNjzi+4jUOs3XRbItWAnf6Iat03ATVP2ffgyrf9jk+4jD/K+vtTdW7QxXL89H7nKzL
7+ttOYMYqH7ESvEa03j7K3zMwRafAhHD8fnt/gqR+occbH+9tSbUP+RQ/8lpducvOKiiYMiaLQvz
IWf5T26GO793EpNkS4AX7drdd2W9xngzXjfV88Ne7JkPObqizbIlDgu4ys7v/vrBX29bGtHE3f3h
5Pjo/z4/6de6CID27k9vuAm2hHjBDvmAh//R0G3XHflng4Jdn36bxVviiGhG77wuf1Bx/vO73taW
/Tm9eN+sfRY23PZnr3vR4r+4ix/W5f/8HwAAAP//</cx:binary>
              </cx:geoCache>
            </cx:geography>
          </cx:layoutPr>
          <cx:valueColors>
            <cx:minColor>
              <a:schemeClr val="accent5">
                <a:lumMod val="40000"/>
                <a:lumOff val="60000"/>
              </a:schemeClr>
            </cx:minColor>
            <cx:maxColor>
              <a:schemeClr val="accent5">
                <a:lumMod val="75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987ACB4F-3E31-4C6C-8A5F-C64588BFD879}">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lumMod val="95000"/>
                  <a:lumOff val="5000"/>
                </a:schemeClr>
              </a:solidFill>
            </a:ln>
          </cx:spPr>
          <cx:dataId val="0"/>
          <cx:layoutPr>
            <cx:geography cultureLanguage="en-US" cultureRegion="IN" attribution="Powered by Bing">
              <cx:geoCache provider="{E9337A44-BEBE-4D9F-B70C-5C5E7DAFC167}">
                <cx:binary>7H1rc9s40u5fSeXzoQcXggC2drZqSF0s3xM7t/nCUmyFBO8keP/1p2k7WYuS89JVo6rzqo6yU1uJ
1FCLD9DofrrR+Pd9+6/7aLMu3rVxlOh/3bd/vvfLMvvXH3/oe38Tr/VJrO6LVKc/ypP7NP4j/fFD
3W/+eCjWjUq8PwjC5h/3/rooN+37//wbRvM26UV6vy5VmnyoNkX3caOrqNS/eW/vW+/WD7FKZkqX
hbov8Z/vnXWkfqRFotbvt98jf76/TJNyU2y6d05aJWX3/t0mKVXZ3XXZ5s/3WwOR9+/+GH/fjm7v
IlC/rB5AmFonFrc4p4ijxxd9/y5KE+/5bQMTfGIxy7SoBUM/fe3VOgbJt+j0qNH64aHYaA0/7vH/
94yw9Uvgifw14UncD09kQMEDQP58/ylR5ebh3W25Ljf6/Tul08dHVnROOvzcT7ePz+ePbRz/8+/R
P8ATG/3LC6jHj/d/emsbzf8B6b8ieLgP6wMAzU8EMgURFpWPLz4GmpwQTkw+xvkNGu2HeTzABJTH
IkcHcqaSzQEwFieWpMzCzHzCWIwwxvKEw4sxbm4v5r+iqRq9hvGW/CSItySODGEnjSp9iFUsTwiS
hALET+YajPK2uSYnCAlqSZNtIzxdo/0Ij+QnIDySODKE7aosD7GE5QnDhJrotSUM+zFjpoVhY94G
eLJC+/HdFp8A77bAkaH7V7x+SIuDWGgKWywiAgzw9sJFYJoJkRTJx5U9Qne6QvvhHclPwHckcWQA
g7e9rjfFWh8EYywtggl/dql3bDQ6scRgxU1rewm/San9OO8OMQHqXaEjQ/tW6VB1afXPg23iE04x
E+SnWy3H65qcWOCSMWRBZPUyfnqLTvux3hlhAtQ7MkeG9EWq3/2VeJtoc4iVbZ4gRggVJnvFvxYn
xKRg4fHT0h8Z8Tcqtx/1fYNMAH6f2JFh7wBLUgxOty4P4XqLE4SFlJTy/eATcoKpKRjHEHa9XOlv
1Ws/7ntHmQD8XrkjQ362id5dpcDRHcbAMxNcswH74bXDm5gQkpkUeJMRQfYmpfZjvjvEBMB3hY4M
7VXSpf880MCECkQYQfyZPBnv5FicYCktS4jR+p6qz36Mt6QnwLv1+SNDdh69m6UFhF4HgFeccCIt
Rp7pTzmGl0AAJiUGA27tC8DepNp+pHeHmAD3rtCRYX67Tt7N1MY7BObkhGPGmSQ7RCg/wRYVWNBn
T257x36TTvvB3h1iAti7QkcG9gIyQMkhkLaGMMxiDIOJfnyNwrCB+RYM/uARLzpdo/04j+QngDyS
ODKEl9EmSQ5gvoEXJYhhSYAz2SbOwO2WAnPKRv7XZE32A7stPgHXbYEjg/W0ir+n0UP5zyNrwr4r
LGyau8iaYKQxRZC0/LmmX4ZVb1FpP8Q7I0xAeUfmyIC+9dcHCZ8BZsg6wp5LX2NFyQlsyEgAlTba
jCdrtB/l0S+agPFI4sgQ/qiA+Nbq4QDBMqUnUiBG6ZMLjRAQYFvGGvMTCrQ4wRzc75eL+U1K7cd5
d4gJUO8KHRnaqzjbFGod/fOGm4J3DZ41Myl+ykWPS4cwOwHiG3wySHgNrxEb+hbN9iO+M8IEwHdk
jgzvy/Qhvf/nwYY8hymRZBJbT3vxjhsG9t0kkLXGozzHZIX2Y7wtPgHgbYEjQ/d8UxzCuWZglR9r
Dp7t9o7Zlo/cN6YE2M+XZnuqPvux3ZKeAO3W548M2SH0v4SixUMEx/zEFEBhQ2nY09rdobCh9I8I
bEpzZKLfpNR+jHeHmAD0rtARor0o1sm90vfpzyX1T5TzcgimEOLAUT9BvcNykhMTapqZoCMHbHjk
vzSasn+8DvfuMBMh3xU8MtjPoaT8EHlp6wQsMxTv/sxLj1EH9suC96BmbGy/pyq0H+3t3zMB5W2B
I0P3Yh0eIqaCvRdcbI6gNOzxtVNORE4kZtgSfBQ4T9VnP7Zb0hOg3fr8kSF7uX6AWrEpVvHNpy+g
UgyYS/5czjt2vCApBYVDsHvjkbmertF+dEfyE/AdSRwZwhdrrTcHcK2B9jKhHF9I8rR40ThIBoQt
eNsU1sg0T9doP8Ij+QkIjySODOFvaXQI3xqOXHCoGICC7RHVBYXa8AbHQGH/dPCeDk5NVWQ/rFvS
E0Dd+vyRQXpXwTGL+CAnaTgQmUSaJpAej689hpkKgrEgI7rjLTrtR3hnhAko78gcGdJw2PAwi5fA
WShh/QyWxoEx+M0QGAsJztf2Gp6qz36Et6QnoLv1+WNDdl2oA+y7FBYwN6H2Az3X+4wrQKBak1EM
u64cVXNdTlXoFWy3xKeAuyVwbOhuEqCj1UEWrzwBxgrqMflz+mHHRFMozOQWpUPJ5kvS8vItSr2C
8s4QU5DeETo2tGEqZ+lBzj0+UpgQJolnP3oMNlhqaZlcEDDVj68R5G/Q7BXExyNMAXwsc2x4b4p7
OGzv/ONNCSBLjCxp/dqYd4w3RFUCSzhmYf70zrYX+FS9XsF6+3dNQXpb4shwvtrU64P0JAD3yiJc
UPRMf+wExxjyTnCU2ZQjamu6RvsRHslPQHgkcWwIr7ND0FtwHEoCLQ2881MUtYMvJJ6A+0Bg1rft
9dVEfV5B96X0FGxffv7IkL1No/VB3C/AlkG1/NA65qcN3ir1AQcbmVIwND7lOl2j/eiO5CfgO5I4
MoRvovX95jBn1SHyHU5EPHMgO6sXrDMfqn/Ir1zjy114ul77cR7JT8B5JHFkOF9Dvtg7RIKJQh0X
oCys17rGQOsgBn0JrHEF13SN9iM8kp+A8EjiyBAecvD2BjpYHYLrguNtDCw2ZJt+rdZtew0VXogg
qMQe+Vpv02o/0nvGmID2HqkjQ/wG+OuD9KCAcJhaHE67PZ+HGTObkHaCnBPU89HReZjpGu1HeiQ/
AeWRxJEhfDv0CTrE7gz0FyUE2ow8I7wTI0PjvsFD24mdpmu0H+GR/ASERxLHhvD6voCmfclBrLaA
UxPQ082EfjGPr511PNTlDn+gfHN4jXKNt2/S7RW8d8eYgvmu1JHh/hkgrw5SFQIdBQQ0cUOvdZoY
0lIS/G4LjXIXb1BpP9bjASYAPRY5MpTBBxm6iRRVfwCe0xqSVNhEP4vqd2w4xNCQf0Tge2/zI2/T
aj/We8aYAPceqeNDHLzwIlkXD4dJXMGxRljdcPb8mTkZx9VwSApKDxDE3jugv1GxV4HfN8408PdJ
HuEEOEvXeXWoxDSkpU0CZdiPrzH6UDdEJJTySvlEiu/s6Mm7Nyj3+gwYDzIR/rHYEWJ/USn97vq7
0tkh4nAGmzuxIKsBZn14jTOZQ0EgHMOBBp97lv8bVXsd/X0DTZwB+0SPbxbApm+vi+/rAzl4sPqH
2pPXu1VYUlATQyPfx9fORvA29V6dB3uGmTYL9gge5RxwosPMAMhwQ5tAKOl/Lj3b8fzwCZzhwZD6
HPEzz/7XVLV+h/z2b5uM+7bYsaGuNsVBljz0L7EQlIyKpzh9Xx04vAlGATJmz9vCy2TK7WS9XkF8
W34K2NsSR4bzXQUr6BDJFDiKRREG3+6VwuHH2H1Y2gwcv5cIT9doP8Ij+QkIjySODOFbKBmOD1PU
YFJpQV3DazemPHYds0w4tbON8HSN9iM8kp+A8Eji2BAu14nS0bo6xJFKDsdyEDSVsl47dQfJbzQ0
++UjDg6unnmDVq8gvTvGFLR3pY4M8buNvz7EmoZTWtCkxILmzq845FDMAu3aITU6WHZ4jYLy6Xrt
x3skPwHrkcSx4QxnAuB+q3+ecR2ajcFRaSBgngOrnXwKHKaFejQIvMYQT1fpFYxHA0wBeSRyZCh/
q74fYn8ezgVg6DoEp3YeXzvnpeEGFTgrLaAZ2fb+PFWf/fhuSU8Ad+vz/wuQ/b2KWz94uOPsr5/P
dk9Xi7feUQd8OFx5YwFb8oTomDIDn9rC4I8B7vvoErje4tfNek8e9z6d9qP6UnbrNz79xN8/lMPc
Pvf6zXS/Lvqbrcv1/PGKwBeX0/3+3cefD3cbjkSfQ5Q9D+xXxe7q4c/3UN9Lh+qxF8gOA20FOM+X
uv2cF9tiG+g6+Of7x+sGzaHuX8BpDgFd1YH9aDbPb0GDQA53LyBKCaKYwFsJ9Hz34RJDOOwFtabQ
Wc4csmlQ9vD+nU6r57eAQ6Gw3uF0CKTJoUn7z196k0adlya/Hsvz398lVXyTqqTU8LOGfhnZ0+cG
fRli0CMaatah36gFFB4kYeH9+/XHoY0GfPz/iNbLZSX86jpQZXYmImleFkl7LpIod1hVfLbieJYH
ZXiapDzqN36qc+ND1XV2l/fKEbiNPkg/S+wy7D6UnnmW6jhd5JFWNu672uYhNpYqqk3bzPyFF9b+
qslL5HiZa9q60Z7vyDpPFjHPouq287Jv0u9S24BSIJuXrQqcjGjzrG6N/oxlSeu7Tic6dVZF4awj
rnFaGsUPTya9owzkLjucVraPQ7mKKq/+nEkhzomywktBk2yJ1W1WUT+bi7hDiwwLNasLA814LZNZ
Sns6iyJFbGJJzy6wPA95Uc5zDzusJOWCtdmVYH5t1zSVizrqW9twy3ah/aQ5LRp9hbWWTpnk34rG
u+hwM/dRNyOaXCLTO2/60rfLIKts5Xa5HQjhNJWu5gkgbHuuUc7hy7wfbpNaf3d9ULuLnOW+XSGj
d4Sv8aksqo9+SG9FgJJqlVm+UX5QOMlPWZ45Se5bpznrdHJrlUgWtl+5vLYpd80lxU0d2MxlP0K3
albDtTLLKgnDWR8nN12grywzO0si/ypH5FyUxiLVzZkRW7O09xY6T2wU9A5T2UOTkI+qlN9e3ki5
NSfv06wrlOc/Xy7666//uUtj+N/jFZX//cfhbtL//m25SYfT5nr8ocF4/PrUf6+5HBbrrzsvRybg
6YLTn6vmLW++bjxeGgEGBYm/sxsvTfCT+X5cio9SP80GhpzqcC0LrH040SsYDPjLbJhQ1wicGoRz
AraQocXVs9kwIbuOh9O/aNg34IIHiOR+mg0Cp0NhQGimJKBjqZD4bWZjbDUkBA7QocWCYnkKqT+w
Ty+tRtnTNMurqr1KGirndeP6mZ3SgIdOyJv6g2Ww7ixo6yScIxSW38rUrD+Fpm5zW8sk//Li6e0z
Yjs2DGwrXD8FF0Gaw42gg6f7Uhsz6bJQ+lV9RfIEX3lhn7h2xVPLd9q6TKVdN2b1jdeZoewiFmXu
5EERerbba246UDKePMiyRNcwhl/NSBThTz0zBF52FnM3uDNwu/i9xgSIk22rCxrDNbXQRUMyDv2A
0UhjxX3AtiuvaMs8b2a1ffSphsMHdFHyLmV23bU4mCnuCrvnVqfsLkR0GddFh2dFnZYPfqs1BpuX
sZmGm31ru4x9BOa2YKE399LAvwkreRZr6esZuJXys/bz8zBqWDtX2rAuVeHX8fL3v2oXBiieR9BC
E64OgWb0jz/6xVbCO8NrjCzSV0npys+pJzCxzZDA1MiSqr1p2kLeZi6Ovv7+a4e59nIHg0NzcEMN
p3D/GJyNJnRQ68XXMtR6Zqa95CoRPb7CoV9dJbpwlHD9z7//Jlg+O98koaSYQ3MT8MbFaJ5lidn1
eeGnVyJD5jpv0iJauqXoiB1m/hzlVdQ7FHUidQLKmvh/mjTDpNj+oTBR4EIPE+5ZgzbS46+HgyvK
95JYXfE8ZOs4qNg6jAYdWB/ruVWkqd0hgH7ZRHlD7DxM+aaMpF41sjMvWosWyKFNkIZOwJP4Ey0y
Qme+6LpNZtTZDHaamDtMpmZxyqjVV/bvn97QmH6sPx/MBuQA4Vpe6DGyDRSyKpYw5hqXuHLjtSpK
7dnYCMvEtGnXJd5Z46vwuydkdtH2ub+wUrNVDsE1/1Hyvk+dzve4Y6ZBvVEF5Q81y3x+9nslTbYD
MjUpTKIhnIbj2IxDTPVyOlmFUKjwS3oZmHnmSjErpd8v27KlclHWVeUUbY4+1HHHwNPwfe4UOFlq
UmTLyMyIE0Z5/DGLWNzaPGq8L00Qp6tOl6WdwUb9ydKhmLl54jpVGgTKViUNGtsNdHLVZIa+zo2e
zj0Py8A2ejeJHVL78SmzyugjCbwbr0toa0cVz69KN78rSWzQmVUTeJCqI2AbzKrvbdSI4CLymfjm
oso88y2BL3qvraXTIN+MHZh0amWIoovtphP9DDfMmPVBe5/pvLwFl4P7dhOXfOHqvFqZLiF3uY+b
cOlyAyu790P3O2QCi9pWSW78XcU8nmWZJqswTbIVzmX0oOrMgnVP4/BWSbfldp2b3lnhFpXTwXNY
YpPI67yJ27nZFPkC4xbX8wiuovKcuvFE7tTEd+expsWsyuS17xoemmGclqew1ZDGSVBg2aLk0dc2
Rv45KWR2y2jJlpUMDLLQVtyvhZUWc43aoF/UofAWRtuiNdFR80N7WcacnpSoshOP1N6iLYMUFkfT
zDuvrsSiSF1/FpU0Pk3gozaY8yKFBx3X3A50EBgOdxtu85S1vW2WkevQ0kjiZWGFc8+sOvShodiE
y9ILFNkBzKRyQctG6mVLeXthhX0fuR8q8ITj2O5U1CXFg+/6hPTfdGO0PPZtWYApT+9JFwclLeDu
0qrK0FUZlnHYnkmV98taVqW7igulMjsgUXqLuEFXQUdp5VSAgQsuOpItwBULMUtcF/bDMgqbfG6F
jYecIiqxe+3nyOLpadjxxp91bSTLC0uXFGZU46ZYN04Fe+HCMvzAva5h6Viek4tMwISjoY4XSaQK
aUc5bF7uvK2V5RguhL3M7lyUmHCzmRvHji+rxl00EY/iuXbBK1iwxIvBr+0ZWMyEhGblxH5hRHat
O0/faGXE8Tz1lPhhVDVXaIZSUi6VKSpxxQzXc88SykvOAidpdd53pxqajhX+PPN8Hs9dXff5QhY6
UYsusuLuFGkdZw4jXaQc3rIuWhYqV4YDsJIvRhb3eAYtwMN4Bv8h4zoKkKHhkSfJlyCOZbyihSyj
eeiX1se+KildBEZK8Lnf+JonNveJXy7dos6SW9iM6Vng9SRcVBloME/LyOvnECf10hFBlzWXsehg
ahuwVIqZi3F1VlDGopnnUq+a8aQGOBXX4J8kfUD7TRRC8mYmQIF4RrvYz1cYKfPUUzy0HBKGOZ2p
VLmzvnJDZhtNkcmbwG0C06EqD3o7zoLeOEduZC5w5noQVvmSZ3Pc+X268hVuvHkoTb+xh8/ZWCqZ
wPTxaO60jTJ6G4Iw4+8CbrDqDFvBOiJXuE9Ur2xRmwa966KGVFdWJrt0lsi8vGRVAluSp3kIAjKm
8LRc5ePkW4+jxD/LuziCmKlhvTrHpVfemQFha9a6sWsLDJN3USUtp3Nt9QqUr3AQzyKah9oRjTtX
WOXfoqYBzyLwgvpWM6v5nhU+Pa1547lzETJE7ES4MA6L0qBdJEWNr/o2o+YHXTJ8h0sDPtFYhhZO
iTvezmsSB+q0aAlpVgn3NLlWBpefE5QPkzMIcr3kkfb1TduZpXBQ3gA2fpOAYqkGo3sOO5j8TAWC
2R2DlSxmcNK/TVelli65CYoqDD8SkUhz1ZpBU12WbTk4n37X3rDQsNp52sTw1Wna97Xdkrjslyjk
w48fVG/APoFeWYyvTJbAr6hyBo/KD9Owd2RYw9LJIi9UH5KCw5IvKvAKPHgPbCopE/86x2ZXJDbN
fARwN0VbXcaGn2lboSpvFy3iiM67OieD0YDF5MAvAgPSSjz4yWUSf3bhBqozUSslbOGzEOZF51nr
JqGgRlsE3Udatkife+DmBudploTBrYDdYqkThK9y6eXf4JiWldu+6StylgpPVueun3r1rCt43oCD
29FlRuCxOojn3X0YheymrTRKT3PU1eGXxoo9fRq7Rvyj6+VgQ1Qe+TOIAwSdK9L5epFZsfwCBEC8
iJvMy21ugpnrisb/qNJSn8s4DNiMkYJ4YPbgdjy79on8XARG7c0jksAy6Q2XypWZpDjfxGCQuzOg
TGBtNIPFngfMgCfa1n09h02myc9xURHLcWVU1rDT0hqB650HfxeylndGB276WS/LAj+UOum0HQMv
U69UQ2CoNsZ+75iNZ3mrDGBpHCOU1qJP67q8bDse3Qa1zm3B9akZtzU77RsLwAkR1v0yi8I0vUys
1rwwSmSmcz9P4vrc65rMdwTTsX8Hnoh+QDIBMwKmU9d26APPYsumFjnsAl1+G3k5Vl9x2lNR2z14
YN2nrKSGhMG0W8x9boTemeFmzXffQ0btRFxb4UpJhD+02nD7ZVHlWs1VX8EkVaQM6E0bRj27iq0s
iuw8q5F1aWLfbJ0OvBs9b/wMUGtEooBX6XkMtkPraI5b2hazOiKiWPYih9kfmq3HZ53bIe24mbby
Lw3r8F3gFzDXYKeTn2Gux/omkQkGA0syGSxE7FuN3VbfiKgage0wrPknRpK8mTXMK81L041E/TF3
tSxgc4cZPc8UBTQhcOjaC0XLML3gRebTG9KiyFq5bSrhd7Wt4V2GhZE1s1i7YDPAG6vKyyhyQf9C
hsCN+CL0Z02L0KrLTVj3nWVxZZuuzy8fvdJn4vPmycl/4u1echkvqY0pHMmlui9Snf4oxyTJ1kD/
jzMpOzQsQ0Mrwj9e8jVbNKzz4pbUlzTMQOE+yf4kVYar5ocaRCoxhrNmQwD1i1SBNtKQZAECAS5E
5FAN8YtUoXBLIoKDaRIuyuXAuwzp8Z+kCjSnxgLoHmINCTYOPU1/armFKbDQz39/ycVCLDcKkICL
haASusBA7A9/BmbnZeghY97LpGb1dVQrcH+dIk/RWdRi8yzpIVpwAiv+1AUesXlrXIgEoreAxbXd
BNbMTwxk4zK4a73yPBTtbY3ai87FgZ35lrRhZYCJUz14juXnJu6ueExXTFk2jdzUzoW+ztr2zMoq
y2njfKX6qLFjrcEH9KTtctkuC0p/UOGVTvNICaqwc2AZkXkRGrndC3NRBYFwzAg8aqn9b53l+raO
zG4uyy6eoSK7M62qss3KIA5wFA7NeuR0TWmbXl47ReJ+iSSelcTqnELrGVPNd6sK7cDN4xlcyHGf
B1w5taW+WrBL2cCtrGgrYMtS3AZf7KvlmUvBs95xG7rwRWHYVMenxKrZrE7FqW6Bxu7MugAXpv3e
pe73uGyvUernNgN+SiGpnNgMl2HYrgQE2QvcNgUwLUZqCy978JDJZi1OvmYpC2zq13TmVuXGckl/
pcNurTLmnldMQTDISGz7njU3EoE/Es2LmQmhhKOGTSfVrVw2TXiOWV5/E7IuqF1BRmABIa3Tm1zN
TZeni6ijyIkgspgL30e2J/vUrkiiLzsk2lkILNBCpCqbuZHROSXMZrvQoT83FIQ7HVLuPEFanSuU
Rkshm/KWsLr/3PS1P0sRuAihjtBlZ8V80Tdh+C0tanKmOLe+1jqOP+oC5ze+RdRK4KK9yKVLZ3UX
pWewhReVbZhmcOE2STZ4sO1FVfQRsfsYud9boQwBJtfIVwlBH8JU4rnvN9kn1MGDX7rA2/1tBNL7
YYqomscD7d2UXTUPgQnvYgLM4ECO1wNNrgvwDYE3L7sennozz4FP18CrgxsvHSOvroqBcncH8p2j
urWrgZDnAzVvAkdvDmR9HiNgOQb6Hnh8CH08Oxyo/WQg+a2B7u/NEM/SIQXAh2RA+pgXIOqWPyUK
IGWQDsmDcEgjSAigVha07rT9IclgCEg3aMg7tEMCAvzrWTukJA5i8v/3GXP2W2M+dHfdNeKDzEsj
DoTl0EEabjA2h6rDl0acwKV6yIQLerg53F/8M6EmTiSkXAVn4BNiBIvtv0ZcnFC4k80SVEjgY6F7
5puMuICDbNlLlg4GAGoewkVI3xEBbOi2ES+LJkgiErTXWekadibKGXeLO2BqfCcgXTnrcZLeqRpH
1wSi/1tducWpgXB1WvUudnDVwoJP3dLOTXpFYb+aQ+AHjhQPNrS3aqeEjgfnfl5/h5g6u0u7VM/D
PGpvpOdlThwn3JGVm96Zur4sUMVtiE1mtfLT69jLc7uBcOIj9niyrOCo/dyrXTzTGH+CCDg6jSJa
LQMJzjirVrQTd15eFQsIWggsmUxdR6qNHdOSfxvIak5lIz4nPVGfcrNJL33SJYuylxV4s0nrYHgE
1woLFwKMUp7macquvYZYQFPL+LTJuJxFHpWnWdKXtufxr6nOGkgRBpEN2cyLKu+WoTS+NXA9pl2m
lSPB7jrMz86Az5qH3ENz4tVn4J2dg3X/DE/zMk3dzEZlWtqpVcV2Evp/s9pctxYwIGmTfvHy8EvB
kmie+R4Qbp66LU0dwf5nwCaYYO5Ynnca9nV+aljxhnp+ZLeJdWYVRNlln8CuxoJgURrMW/hug+yE
9d8A6AA4hOw2NdwrM+q+i16dUjfK4JfQB7fTN4ZO6guwcIVdlD0CQyauKIQwdu/2VywFSMusneVd
cxPG9DuhxRcwyffgehd26vtnYdReW5BbsXmGSxt7SEN8T1ZD93Unqlo9azx5zYQoHRKbp5a2LtI2
FvOUU9dm2P+Wef0H6Ah8HuRA6BkthPfAvYAz4KatY4k8FNe0QwH9DuEZ61a81OGc+9654Zp9DLRm
4c0iVmjb52xj6HChKmECYdstrN7NbVcG7BLV0VkdqMLmLAlsEuMLyIAHdlRDxtFF2J95TKhlx8K5
yLGwtdGTjwVjtVOLInFML7zPSWbana+6uYphN0gDuYCUUWADRwYPWWl3ZXQQlXosxE4DC9xBMFOp
l32MkqSFmQ1RtZDazoC4uUt8V9uuaZ7iNGntggGzCq5ePCNuA9srgii4czddR05hp2KrkLG7onT/
JklSOjykDlw4c2VqFq0ak1l23FQQ1EE8AESpec1LyEq3oiidDCtr0RbmbQ2hmOOW7AKpJnNk0kkH
GeysiCp1hrv0PDcjvMpTBSiV0onoVw10m9F4i6bn7cJs1LLMCxU6Mi6Wugsz2+v8mcij737EYIPP
YKnDMsky3sKDjf/OfH3W8iZbhQYXs0hhfA276+CIGP7HQOXeWWKK0K6Ee1Xn4LcE0pqTDiKZKKlh
ntdxYrtZ+6EDTg+IwSwEJqYX4FcQ9xTlpTkXOjWXnedKSATkepXlybnnIw4hU0XPtOX1Z3kAuXwz
zdE8zTPI8cli0YfdmYG8r5kRQ/gUqNYB6xeuDGVKxw+zM4M2jtcCMWMF2becB94PncQz6cMy/sCD
YNMHfQm7sqRlYf///fMpoIG00OvB0F9RppLN7g6KQOrnDgrVRXBck0J56NCqEEpPXuygcD0Dh4Qz
Y08Z5K0wSAJXB50NKVgUSPzCvvYzDIIdlMBtHXAvNfQmhoKVt+WWdzIw0DwPZjYoCGcKTMgkjnZQ
r+BNEFARXRs4/+apEiiiKvqOO7aKMMziwALvq6jmnMU2qsGLpd6F7PKrRsRAqzUQvsQqj+3KM5yC
V2ThMbRAKb1tVE3mgsNuUnvdBSrdmWWkwLXi8rMSJHMiHF34LI+c2ihOo1CvY6v17AqbDy5R2oEp
7oEZas9bUT+EFc4dEUJ9BxT3zK2uZjbukn6OKiOaFTFrZ8BGgFWpYEM0O2Q5ZZp0iyTtbkjH2Ix4
0XnVMmoDH/GVQm5pBjTRQ4qsM4gOs1neJmANah3asUdt5kMqLuHyppf4S+32HhSPqBByT0ZjR7yE
v1qBcnovI3Yce67N3RX1ykXHU9fOgaixSdN+7n3vsuTJeeZm5z78JjvtwGrHhHxsVDirPS+ehwm5
dDG5c7uohPIW2ETBxYHEsq4hdxUawjZNehrTTjmuyL4IVhiOhcA6eA6rc+XdliTI/gZ29HPXm815
OcSUtNTLCDeQAsmLv1sPKLAkXMZZY0EcyFLbbMCoVtQltu+KS98jn2muISRSzbUB+fN5GFb9jLDe
m/cS2EevkMbSSKuP1PAfGASuS2BiwWMKw/PUWpf/l70za44U16L1X7l/gBMggYDHy5CTM9NOD+Wq
eiFcVTZCDAJJiOHX30X1OT2d0zei3/uxozrtTCdo773WtzbzG0Tond+zN71QuR+Vu29GXeaqn1r5
KfZ499S4TV+/V+X6Y5r540pdUDdjL8OkVjyK3pQnrgWu76NrOvcwGyLviSrie78t9GmJi9SPAexM
ITsYtYjE5W6Vcj9erlSsEH4q2U57eFivUzdlYdXyC53lO3QtcnBlGQ+JYhFf/znn/i3cgJn463MO
HuWo3/7HObdFVH5D70Jkzj0AKvDGwcz97pxDpAW5NMwDeNznT4ju10khxvNNwN0g0BQHSDT/Xu7Z
hgjKwOxB6vz7cs92Yv5pUghdD3MMML5tr+S2MvT3cs8McQX6f+Hf12sfLseVSTSBllNT3ENbpm17
ceBlHqIibFJn5E+LX/pJDVor6wh6E69gVQKrv87H2PiZDlr34E61yKKZqnS08s1b1jKFLPG2DnrO
WgoWRGl212AUSIdCPIgBgmpZmLxvtZ/YCKJutKzuoYqZznDEFfA9a+hLTmtzrkyTcWbuxq6PEy+s
Xq3HbhXt9qxpVSrnrLPrvhpwWlu3dZNayNtaTp8kk0eNriqpGgm/yjhlGkNmTiq1vsVC3RgbXDyi
GqNB3JAH4prmMvqr3MHJ6dC4NRIm6vBBi/JtFDhRWyfMzfI+zSTIYCTn1qHoUtvuMhP/te/KPtHR
1B98tBmpoujL6t7jCZU4vtYoVqln5zu6ViInan1Hr7Qbpb3z4mnvoSdDfn6vqc4VvF4iPAxbOC5S
Zem7ieHsT8WaxG5CVnrulvWwBnCAx7IAbBea1LbVczQ2HRDC/tACwpmleG5iJzOmu/XKvePOmEI6
hgERtDeLr3RsfUAjc6W6vXG8aBex/uQF7bdO8yYF+nN2bXyGHYg+uSkwiqCUq5s3u33xVaimJLmm
suxuzmqWft963ZKUbu1+BjwYy4TZ+jsJ6G7maoJGP36HKLcLSVymU4R/rsbpffA9nQpIUklr54NZ
+NXviih3pnnZDYZ/TA5TKDXLF+bGz2adb571vgIaObly/VJZEacs0DQPS/9HRebT5JbL14YPNZiG
HpgG7dLIAhEI3OEgAnWDV3IIVeScAS88LxU+FojPAcNfdF/MGigpXz981MaRmxqiHItzwxb3sIYf
npA+nD/zyRrYPm3vk6yBDVmXGFUDpwJVAD6j9wIUXqtSR/LvZT2smJCWdRdNok/FUu6Jo79UkzxI
3DZpF2E+gA2b9KFec1Oi3HqwOObJL1Johw9L4XxWxoUgSr1MEPESFLyEiUvCRBdLgrsZ9R1NQlhj
bjTy1AVoqjks5nGIgoSz+kNzc9+3/pvVxZk1q0jqRVyB99z1UA8TJuO7Dn54Qii1qYA0qHjFE2Hs
tB9meB2GUy8hMTbh1tGXNZR52wRHV5dfaE37p9VhmOd4BBKEBC+hw59m4iRuPH0euF8dex4f13m4
K8qovyuk/szmYg+C6slh7MhpdO/E+sZd9t7767Vt1aGWuDZXBrWt97oxA07yaK3c13DgyrHaK8Hj
vJ7jLsHdw75qq4+ciPGxiCwHAdLs2nm6Y9v0+E8L/7OFD/6/LfwvSaj/Lm3bq35X2lDVoGgxilb8
J+j5qwhG8YQ1tPYb6klQ9lAQ/4OHYsl8gO1LEVajgm/C00J+a+FjrEzFw50grP2nVv4NJwP6+59L
Gwg1rObE78IDtWGo/Km0dQ2WgTV4G/c25rXOBKUvaMMPouscoNtl7hkfTLFjl6SwI+67xUskakDu
2fhkcPOnPaXerhTLc+TIYT+KFsKQVzUQd9pcjP33ksyQhlYz4tJmTI5ORp3xk45W/xHEzLRnihVn
7i/sKOYwYwOhaR9adQFdNyZBSfhuDr1vptAfLpT8Qz91V4Ujv0qZxHVczePj4s230Ap2G/q2Sct6
ijK3gQ6kItYmTdyppBzjPllilMMW7yqa650oR+fgibDIRQtjIhqrH15H5jHTtoCM1AkLlaYok7Jf
cY9TYAB10Xn3BREQF0ZQq4bH3SH0Gi/p8evXqukShSYCvwXd+krjKFEUNm5Mp0sTFvdC8tPcEbSj
7YAfT94MUIk7VkIKkwYziS3Eowx0WjN5Zx3XRwdKRVq1kNdWDpJLjSqPxoGnirMidyPnpV/1E9Cj
A3CB6BgM64Oa6iWD2PlKh/C7VPI6wEUDHc9PcMYeAlM8lxbSzwS7xNbxh+rRPY/xBQeiBvvuMEiB
fgjfWn4WU3NiXfVlFkanS+x8zGXE09HEO+QDvgZd/N53IegWYAKp6EyUdAx/FtvQHo5Lyc9VhXpb
Y6CBYiMfokV8qt0QBFsL7rHpALY6cDvyVnZwurR+ZVZ/idicSp/IvC6rEcNWxVF0hk+SxvWudZsA
ig4rMyBizxJffdMQS9PKYiroVlR/1jgyBc310OsGoyam0lyt43e/N58tr3+0ZefvCur96Ita7PjM
zanDKFM4oHjLLrQ7NtMiResFwAaX63503SpxC7+FCeUNQdb79OiMcbwvo1akNJK4EWT0scDN82v9
jfYTKDBQZrkndJ2NTH/AdmF4t0ub4t7vU6AWza5aw4TxIgZ/EMfpUOEegYENkkryFXjRkFJQbMD8
7L60LAbuOd9TWxxI0D3wubtndXR0nApe+hEOWTFdYvxM7ZunfphMypYQyiR7DeP2vu6GJpmoWLJC
zPva80DCVO+6M5/DhruZnCHhSNHHuQ7RZ8nYxIg7dDtZ9xdCxr122hddjsd6KM+m7duDR3QKeOOB
NPbgj1OdhBMqjJrn+7Yh6wk4zReuq2vAEC5h7hQeoWKeSdxe0V7sG4caQAQLSWVdrwljpspK7kWp
U3rVcRTVmYzV2Wv7L40H6Dya9Jgwr3jxw+B1VPqetLW/B0MTZ7PwGJRl+HuqMwusu7BOnNHsSx9S
Q8zWOXWW9nFixeta4P0N/ahhpFIcPXhdCZYpKdEY96I+Fqt6H0Do5GSFAjzEmPpKuaZ8YXUS48+a
WsNfSUFvZqJlQqtxya3QflZbxQ714H4gAXjnV9W5AlWazE1LcVkPmdtWX1ZGn4sC37sqZAgqp3HQ
X3uPQRR/8QrRJiXtbsSZJ2Ruog8Wj3uzOksygIPKibY3xcd90ZFnyzUUW6eEnhydQIBDxA3bWzN0
2RxWzolPzUsVmC5zDbzgJcpt2Szgv0iQiqFpUtZNdd74s8xWl1/WbnKQKkHj76jmo1yL56GHWrF4
pMaH4/1+5uKH6qH7Sw8ZkmhaMz8kJO3A8t9NpbMeTNTvwiksk3VYbyC/ptyxBh17XD7NtMpH4hxi
yBVx3FqM9eqEWY6jCnAQiEO77OnExrRhMtgV7fK5Ve7OlO4bJp1qPxM+ghezV1gBL7A/z2ih8FIC
g9X6OyXKHLbBXdWrg9CFOay4iNJpxTgV+O5+Cb3vq9dfghJn9hxD3hEcNqJ6N6ICvDW8rXOZhxXu
Tr1A3aHeFxl1WVFDfMVIlxe1ewgNTlNoMP42+rs4jygqRVg1URbUXQOAKnzux+qy+sF7bXBQVpTJ
3DYhOMZlht1QXTw6qWTW8b2KVzSv/vSpwXWbRI0vcKMoDj7Wgbitbiqw6CfDVe6hxbyhdqpcVhxG
LWJUOcQpdh9FTrR3sFp5r7T6XNXeU9CNTSrX+MULzRdRc2BjWzOpMZxBUeo9nCDebiXRN1pEcP6h
8+L9fVNikEDr5A9drE0SYz7KOk7XK4CvICv64QE17zL5+DfASHcmBtZt0I/T3pF53I4/CgaNG4TX
D8q7eyFiID5OUafGFhevZ0ADoH/vYhnbrJyNDyZ6hE9icIIVUXDloYu7DNpnApsbbm15wPTH8xDn
pAODZHK6p0WufF854msd9t8xm6WUt+2+KOo9+gh8B4V98oLeSwc7hKfVCY+94SjFnV+DcPLDtEJg
LWWOp+/j1c/Kpf2o3VqmUTvdz2HRwLwozy6t2jQ2/UfkdGWOCN+XSTpe7gxtgJ/E3moeBElfOp8R
BihuKuouOM3BAV58y/e88gMHYwmPIDDV8XCVTSM5S1TlllDxqsFCQPTigZ//6aN/kcLRwP61RPR/
27cfUv13H+3iVb/20T/1bp8EEbrpCM+c/p1EhH0YJPQZdJk/hTOjf+GZXC6W4vwC/fw+ZYVniHjY
hQjz+ReOKPw7XjKk+D+30RsO5CLeEnpo59Ht/1Ehkn2w1sFS6Hu3oc+11E9EB3etr2/13KPnsj4/
lS46IM8/iGURWVvXxa6wbErNPBaJO/RDEi7TmAHefXT9FdWoD71k8g1L9OrdjDsgohPjZ3U4IPNG
9N4xLhUBNNQ8qRB93drJKPHkfHEGVyZth2kaJImTOnNQZKEJRd5sJ5Ey03B1u/Y5ZGFwCe3anQUh
mxcLsKMs0AKRJtz7GsHKyMopZRy33qq6Z95FSF06LU4GpY9Dj8M8MmWuaxC+od++IwfyCQy9s026
B0mdJ2etcT4N+rJuuOwalN+QkRPJEIwAh+SUd+oovLNX0h+Wvymamrg8wBsus8mOyMSsI87PpW6y
rpnrjKy6z/tFvE0rnAB0MD9GM508Ay86dvGBlC2OWkUPixOi0+9yZz2PxjvNfvQ1EOwoXeEn8RK4
WRwGZ1Wqh6qd58S3Efrv2buvmWogyoy5F7n4SmioE1OW+hgq34WQ0D6ScvJvscO/z6S76S4CGNtQ
iD8e93ZkkCTRofVw+MLt6Atp8qZWApVm8hLlRmdS8eMyVn4SKJ6JqHucaw1Veh29fKCI8qA/WqDh
I2MBWmLIy8HYp9K4NC28+LV0pEhAEe0HV5x0HT778frmOWW3b5c6MeiBheVxJgmvkx5sfdL7/WFy
LYHgMZyoh8+yqmEfU/SudeF17kPvm+4pKgb8YlSqvpb3q6++VzDfj8Q6D7jA32JZyQTltzvx2vus
BjAKyAZkTuQj7DbR93ka3224LDttZrRQOioOwPW/tbhFE4m3ktbI8u6qaXwKSKnv2siF+yy+9Gt8
tw4eJkrJ93JyzsOyQAh0o60lKDBa1sWUgCq7GrHi9rHPvCy+DTyMDh0FHiCc9qlYKQd8Pb4ONESP
aspDFMgTsrIYOcFK7SLdHVkZvCju8pM1HUMDtj7hZ07nAcQeeGkpISQxlf5k461CyMGLty9vpkvq
soJlXuG/ailUaleAcFp33UmTcU5nJwwTvlRD0ujGpOus5efSLcpDx7l6ECyI0XYP2dwt3i4a208R
gZxUGkywVniJJrLCF9R3edGIEWh0XeFuN+SoK7Q8UjCeKTIe3TVyj0PEj6FXNHu0wn4yMAopa7tL
IyC1Wpg1kUN38A30OodlQgLNEMIggd04GLUD36RA5+dk8XmYxaXOjI/GDsB85vjBgwAoKLV98WZx
F6jxJOlyjX31ZEM7Yh5r9xzFPulaaKhd7V3tPL5UMuiSZuEPrT/eamjFUT1fdLt+1gUUsRrRzaSV
4hPiTSd/dg+L1s8mYm4yjJ2buFJSSMbzudZDHrpK7tol0glR86VQ9FZ3S5PPk5eHpD+RceySRY/Q
F4uvVendI0N2ReTtAVAhbDyrvxVFAIysXj83HAaUP0RRDr7/q25DDHQLGgxDANtw/252+q1Tw1WD
jONSf6KjCA6Vzzq6h8RPci6Rzgkqmf1Twn+WcB+mzF+X8N9WT/13Gd9e+bsyvulgDPIW+8WY+Y0J
w/MENrfaj2Bce8FmJv/GhKG0BnjWEyxvEC7bP/3H0Q6RvgZEFv97MRpjf6uO0y3Z+AcmDKlrKHKQ
w/BYIhe57T/WcSdyaK3mRt6PGAbXiyB9IK5Y/CBIbkzbPITo/eBtNME1QB+NBvG7X/IpV6R9BiiG
28BrzwNRX5pFnhrdPVZtlRmHyISK4gJA+dLPSHV24bQvqS1h8tRn7k6vq+je40oDgLIESS6oQLeg
XHdeiyGCo08fC44aCEEMGoG4mNFJZmyZyRS1nfeNOCKZkcVrdlNpI++I3WKqOpGamRLTv+MjZmhj
jExtTxHFKxwXOg0wsWNYhe1+COMTa6DGPdPCwBot2kmMWRyX3D8rUekvYiq6bLS0JTs7WiwYMKO4
CzUkn7SJIR7lSDI7WawjJQ41xJQ1H1TpDnkbbMsZmmn+NjKk5Kamew2Bq6WGT/vIxmrfV+wNtRLN
yTTMNxE1046O8lIV7pASjbmi51U+rIWbcIx2srAvxC0+OWo9mtB5tGGbdnY6+kuXWcec5ym4jy1b
kqhnSI6Qx0VXbxho7hDBdKCxjZcx7HAIOv0h4ugRVOw92tE5Igabd8VwBTz8AawraZ3p4FXmhCjL
oSyGMzZWXFsyX0H/fnMX/Rjz5kAEe6kx/fAgPBReec+41cnQ9E9NvyZhV2VN7+6nQD8qE2V0no6C
+a9tyCD8o7JG+tQgXYRxBVC2iD86T+Z+w650GvNJRnsfbLQn9aWo9EMM5FnpNQvHKOsxvnQhv66y
vUcUGJgbJjrtg5gmgNHkxRKRQAq54rtMezHtkJG/ikJeNUXNpcFuNOYkArHvmfuVBIhjVOYC3/9b
KSORb199GcbPvkJWvfX20OPOntUmGWP3OhIEDgdxVYzcgMCl0CxeAk6PDSBhRFxlBqbrqEGNRfD+
42J4j32d2q55DQV/kS5/NNzZFX1wxsNGdmRsr64A6MQW7zz58zeLNwEoy8vqzjsXFoJS6EHmNOcy
9HZONd+BADhiWQnEoUW9q5A82nh+VAv4uKK0wS0M1L5iE7/CoL0soLrvVeOKY4t8L0wPIqmHfA3+
XsE83LssOE8eLqkRIa/Gaicd2NRnvY5/LOV8dec281t6DqvyNg+GZXOPxSNNE2Z0GL4aseDyowzT
bbGfB7vsHFp8XVVzmeKZI94yPsN5zKlDURN9o3MiEb7zanhWtMXY6nA1p711upxw7wL67dFXFWww
v0X5nvGNw6l7EL2z1z5SulZIaLs1Gngdit0wexcjxn1dAOKALehCJ8txdeDb2vqCeNQPA4Jqaefr
O0JXBTFLwz6u7v2iPtPB2UOmyFs2XHsCTHIa2u+93+LLWJ2MTHrKRAGPrTLsFjTRUSIolCkpKBoA
tALFOqOhEGMqXRKnhAMbFFV/bitg1rVx0pbIzwYLB5KFtDZ12vU6evQy19UPRgekoyNyKPoOEm7F
Mb4I+8g68snE7ARE8xA5YwOOvutTwHmXIPaWxPo4AVqnAaqHdQQZGYoxmap+2IlxOcvBmxJGq3vk
KV8sQwyC8/m5ZAGud+jknQODN6rvC0RmUz60ULiUeInB1KVxxeMEc/10XiVt7njA6vSf2v+z9rso
uH9d+xOcHP8LZMOLfi37GNGxBwlrMbaADkGV/q3sE/wThmY8cyIEskFQcX9zwTC4I18T/xb1+U/Z
3x5D83MhUhBQPIU99v9W2cdOlT+V/W0xBYMWjw194Gy39/d7wMP2s0bQmdN7PfsuGnt7nBZ/yDzY
YXBihp2kBH6SWV5DMAWZLv3vcHfOBn1lFmxZRjFjfY9RENMmCRjW7QCEuCqJ1n7MZm2vswKn4cdK
plKO35a4+8KrMkfA9rH2xb5bzIlQ8jj0mO/FsABh7omGdUPOXYuocOmEL7qOJQpuCw10Kl4QMnoN
EKHGrAXdm83tfVDSe29ieTzIU9gMYGZXelxtAb6kJlFq+bzHupWcRP0H9js9jlMZnLqy2GMP0Leo
QjXR66cZG6GSmrQkoYgrJwzVJKN9kbozULyw558mb/xaz9YHMcoPZJRd0iM3k7QchdNg1kqrnl7r
djg1NY6DSamPwXIvmR2JaamJ7qtWQZUoh3sR2P40twbRwAoTf9jKGulHBeLELYurZtLNMG6uLBn8
9SMitr5aP/y+Vvjj9kXLbwTBw4Rr9c6NG1+EbI5B7GAAIP2y552O7jUI+DwMJ3xrI4ebVpoyreF+
I4zc8QTjGNsjX1QmTCG36c9heXNL6u3XXpTJUMKaabtN+p8mEBgthYC4NOJA6dwgvFORveDbApEV
6zDYjLgqRhykXkHoe/MCls3X1c4H/QF0mDa5ag3ZG0nbvKPijD1Qd6sRMGm8o1nKNava6KNY0ZiJ
sPVzR1c0W8ZF5F4RAq0fyyZ3BY/wh/AWtFpDvDcCGRkxq3EfwzIAeKiwEQRx60fwbtF+7AOeI1gh
IGcXRWbhyiWaUufW4LkQSbvikw4zY0nFXLaLShyXYpmiZJFlnzsIcSOVWVenAOPyHt7r80L0wzi6
Xc6daEEb1X+TDdJmFWdYHDDE/qmPMYaV3rb4Zt3+RBXpvk46EC8dEuuJ3lzSZfNLyVzC/Ns81ACx
rYRvvmqFvzvOZ2c8RBP6Dz75EMBCWLH15sm6mztry9Y5uEbsxqDJi6LDhI3satJuri71aZtAkICE
LuD5qs39ZZsPvMKRFfP4yKa2zvVPs7ghzRU7L8wBsegP063fjGf5zvTeCIe4UZcKEdeUzixr1MCO
bJkAgzih3UdF5z8SGNZVLI0Dv2WzsflPS7uCuT3hXYWrgxrJEYjQER/2TrU8e87kAegpWYrO+9Rt
fvm0OecxLHTQcgtoFih82DeQV5vP7vgguWC8W4z2KRatPbeDOIWie5hCnTpOeNHB1yIkd6Nk9jMk
sfeJoeH1HSfpAEJm0TRO5xH7DQ5xbAR4LTCnZe2eCX4bh8Bvrf+BCAFJvbW5uBNMahuHn9YIsn8l
QJYb3f7QIVa8YAPEUYrlhv1XZ8BoWD+y5ee6NgJhUnmIvFuOcN0i58QihoYNTe2x0+BxQ432clnw
FXpDez865VMzF19dOX7pfRwPcEBtFtbqrpq8t7lmDKIhxfYQLcudN3pY9kaxAsdXm8kGLXH14Noj
FAM87HVkkOxCx3+I5zACeBB2RwxR+D+NK6ACNDbtjbwbhXtAcrhLrV/shCuH+wpZxkRgOwTCFHFm
ZvWuYWokga0yLO9gX7BfrQ1yZA8uHTHfpR8euzH4jMBwcET3mwi1fsOaEyzzkPMBH7rZcYK4ZOut
WcPCKxc4ZWLpQMPArBYD4bfSOzgDOyzTAAqpQtNTTbctH9MQDRWvar6ZKD6EHb16Zb93/GFfYokH
vtN0bjz8d/DGo6pKdTV+6Cp8wFYgA+NrOZqNPBs3qtCvb1i84KAWwEqjyx03za0FtOZV/LkBxMYZ
cISNahuBtzWVSZF6V0lX6DBpgcAVWCxTNWnkYsbUQOSgcL8XI0g01DFn2euI6AiaKLzPknWPbqXU
P4jQv+lXQPl/3Rthg9ybfVdv+r9lkY3m/7U/gruxLRDFqkgE3H7miX+lhPC41DiAgRF7DEbGH2WR
wMWLXGxpwpKpn+zOf/qj8F+ADOFtIDawbZ5z/6Yssskef5RFQNLiKcwMyy4hw4Rb//S7zV1dGaGQ
2Ejeu25THkCi7nkJUBPc5t0Y2gULEok+zyORe+quENjm8aETAIdo135TwDoy7egDBMQgj6la0nJi
NBE+H1IU5xWy7kQybiL4pANbM3CN7cNQxq88wCCD6C1NZ3e9w6qQswr8QyRjlFyH74elfy2iUoLc
iC6rWoCIy9oexsacylYMmMGC0xpVMN398MKID7AJuVVTRbd4CuusUxVsFfUGdgsAZFB+sm3QY9CA
a429Jjat7XphXfg6F1hpgqj657iRr2y2d3GNwTVsnp2gvRgwrCm2V7x0ClOl42ELUTHdhYCbuk7s
vNL5QhC1KYdyBwcnRBqiP/eh/AwU6wrTE+JOMO/tDHUVFwWYIOii3dwAGQxNXrGVJ9ja2WRUzQxr
eoYlj6JuzK3daCyBORdwLbYi0YPkGOogyV+nBhpuuU7eHmHpnWADnAaLPF7tdalD1gdasO/E9M/1
uOywgqFNaNk9zD7bLbw9VthoAs5AP7AxfOFDUea9v3xmFYIJ1RT0Gbp4GLAdXF1aLRpoc4iWd72p
uQt3Hm9Os9e883Wb0w15YRxKAnSYApxWfC9sSK5NER7mqHwarj4/Mtg72H51xxbE5fF0kl0VWuQM
BmyrMCv0CGostldEnzlDtzMOHUkaWe2RKumSupXf65DJTBiw/WTwdk2EXRQuGmqzHKoFiba2Fd+U
ou8QFd/RkZeHcvCv2x6P2Q4ldq9ZsGlL43+iQY2VRUuEslNUWF8wnCBbHZvAw3IcvlNRCW8Ae5Py
ZZ5JSkq27KOfKYQuGE0+WedW9dOPeK0nlQYuVqC6MFrWwddJCOvFdwaSDjBjYrYJ/KTA9BshEYbH
NxzI5t9INb9ho88zAuCZ1W3ubutWceniOopfJQXixDcnCK3fkFdxOSNPOWKdK7ZWoJTDOwL0jIx7
0DzGkBIZgJUN5zh2MYOMor2k3TyophS4L0IEuSN4hju6eVXYaODunM2/crEa5G4h3a2AtUU3j8vA
7EKMzoXASNWxBxCecDNh9ckKy8KHyVK66z1CothktTlo2NH6UMBS463rZv3msjHYbU3HvhrYb1re
Kt+H2AZnLora4jgzeZ0LrCywcO9iIn8g2Qn7CL5e67d9Htbgp5zZqbN+s/+mYDM9h6DM+Ors4c6I
9SvZ/EJ1FuKo4SFWclgAyOMysG3xtmxGI1mGS7FZjx08yLn3D+BQHPSq/JNT1u/1iFsGVBqubTiY
Oh6O7WZpxlg0twk9z9j39hFvvmc547qjmxUqwQ/4WHOXOD18FlsO3dkhc3DxYKI6IPSus8X+pGhz
WMN4LbJ5c13HogCRpuDE8slerKoRqdxc2iaunrjC1Rz4pXdUDYAVv8A3jq1K2E24rDeEYxngIEDF
urVr2sMOpoMa0eHjxuLrUCTO5hpjK2yxs4sRmRyMf8DyAYxlyKECqUROZ7i1Pr1rYEO7hftcbC6H
R+wJeAbJ6brOVaKlUgKrJDz1uf6p4rKfiq6Gtjv+ovL+VHyrTfwdNhk4+qkI/6OX/KKXQD/4654g
e2/+zxXLIv6XZoIX/toT0H8B10V1BzSMFSMR8OBfewI8phdrF+B8/CfG96tmAjXFdRGYYdvaRpdQ
vOrfPYHv/QurrRCNhfxCsT/l7+2jDv7UEfiI/EGcwcZsrKL28RzZP3YEphiFbtaOPHRokd26Oodl
nVK7/NI2Ys3NX6xa+Zmt+a31wCchSNIB0kADhJ2h2Cv4x1+EbYL1/2PvvHYjt9at+yrnBbjBsJhu
i6wslUo53BCSWmLOYZF8+n9Q3m13ezvAwH8uDrAN+8LolkqqsML85hyTG2MqzyaC3R7jmCPW5twf
ckYrLKohJkBpcw7uyit36i/qtLq39QbWFpNpT8LkW6eNlh6HxnR96BOANacuXilmtUQQmyfZVqTx
nYhsyCJ1RG12W/GAnl5l51LFxaQh6K+cWq99BwaVZ3BL5xrtHGuy/i4ij1eAe/Jd00IeSItNYA0b
KLyd3xMC9Nt05K4nHhXHvnRF7674NZ8ikZUem/4ti86Nko8nRTFPXQwUVpVcHWDR7qFTnWSQh9A3
tHvSAdlKDYfB15fsQT9010CuNlL0j67TfOih/RLm03OzbL0pUw4faOTZbIKjBcBpw2BtZ7kByeWo
4RVqmvvSCnexI0Ivi6Ij0tpbIaN0M+RqBT2A0GBWjpWv9Mt9ncVvo3Xzi5aj7M4iuRIOSJMJP65C
oLm20pfe1u6bNrwkz96vSm26set+C4dnx26rIApBHpTCYLgAPNSLdPNWmarMy7va8Wz3xe3Y9YzR
x9kMVqQX6Yo3hO+Q7OL1S7bsd58Og5wVuv2lMvQkKwo0qZp8kmZPJ50pyjgRiJJIv5tUy87QxpIN
/sTtnIvLMMTA3Wli6w48t5FMOVdZ5uBXtfsCvGeHeneDBxnT9Nw+xBauhBDy1MrosttW9nvNTAcm
bOq7Csx9FcrpIYtjEy7kfKUDHEDbSAYgWc03LdO/6TIjdzRquzJz9/iONEJIcot4d52DER3t0rqw
jbnAqVy8z0n1FNlt5OVWeUf8J/FFbac72RtbFCtPN4INd3MYWLzFsDoIGa21Mapfi6QMCXI7Sjd5
pjU2K01FZB+Q3ZsQBJnEHYr1eaM5crmIN+Mhy0zm7BP+34C9RhjfpOruY1PbDDNHD0jF1fCQmsYi
F0gN86MZL6meUYv9NNH3BnunhvLWLQcrp34lxHajpcoHqI90VRNMKXk3IhANkIzaDl+F9EuZansl
N5G65HDhNGTCFNQiM065m7dDjPgRymcrsdv1GFaXYawGXluNBOcW6Fx7gTnXH7p2J2X3BFOVbdFN
vCFRYfOVl6nFR9Yo0jMGo2OmKPs5Q9nDbx6t53FCgx0YOEhIqYlkcjH22g0UyO1Ydh8p8TZvZGha
WNWTbNaYn/aRaMABKrvJsl/HRH2ZzSn17AwE3JS9ZDADZItw1R+qkhGXQryqaDwd4AG6pOjYiI21
NMRu0I0NDntEwrkatoaddBtVQzoNB/FSCIgYYyn9QGkaErTVtteKq6mUz4xWkNAm8QDL2rmsFKij
dwtYKHREE+xKPdeyv1tGf/anLaso24Ug/8UFkqAl/KufLnBt2xoimKzpLCfPXoltcBhvy8t90q2U
1+KxWqd7ZIpVcCSC1fvJ1tj/sMGdf1mufyRmLfr5z4s4D+/a7Dvo2Caizc8P3wS9OShWP58Hm5nv
3lUZWY0vSpmv/vnj6KrGQAG4CnWHvyNMux17Vgz876zFF4C3V1n24YZ78P1/8zg/736/PJ08n+yB
Ghx3DFE//z41p3qz1yL1bJnHxiI+zTlPPP717yL+6DX78Zf53YP0kaq2OsHq87BpH3BUrYed+s3x
F8vaJYOtcHXTrBHfN/ru/gRnYnUaLuPNQ7sO1tfJQa52YLEuOp+/6Jcb/ls//PXPp/8cHfrlSVia
KKgqM4jgftEBfhAFMgDGZBlV7cyE4hRcq2v1UnsMDzB/Of/60+rwrG1H71Rv5M40vfxIuvMa6XYj
V9l/B2//Fpd4zv/8ILnO/scvG7yzfyAu8YXfD5JQJJYUGbYP/DUM2DhB/XqQ1Ggs0lVwEDo1Nhw0
fx2+GS7hNPDpLsLIcoxcMtnfxSXnX6wngtQQbkh0iX8mLmHh/WlxMFXT4fuwMqkCMyJsv9+9z+sw
GE0Fs8EVmMwHuZjnBlx0CkfflZ20zRm8NhY7NssnU1RYBcyMCJWtkNrKGX61ylAc5pChGW0CDVud
eOQWafsNgVgQMDr+eMGcKV9AuByKGq8TfbmuA3fw6sUUmOAOBCAMW2h0InKk9r2Lg5BdpYCegyvU
xl3IZyHcNfgNu3h8DCSZziGpbpsywrWpxO5OU8P3ArfiaKhHhignPA+Y1BZDo9ok2mYysSBUuB0z
UDLTYn/E0n9EgHgOOv3QWVULoLi/VUlxbMIa+HMvMc8xWXqzgPbtusVi2QBDxnM/flil9UFrROIz
WyGuhjPTHY2nQi+LQ9XjQDJwb4Iiv44WOyc/5rtbEAkykeGNYfEgWGX5MJKzXbP0YA+CzWACYkAq
34QlknLAZXk28w8r09bjAm0os2orwDjYjSRck4Y7CHzOKh9MwlJynv0kVqx1r4xXdiSNVQwaIgYR
MSysCKFrJbMhhzBCBUkC3sw2w7JjWN0L+F34owbUiR78xLxwKBx1enBwxjjnsQUjV3XjzCCALdG9
iJTqc+4jE4ffkKzbpIdXTRBmRYRh3OYxEl8dJy4knCm6NlL9HlEcqyVQ7Z3uRKs5TI3nWbVXVU68
p7/rrSw8EfauDrOaN8BUlXRXmeVaJuqNhrTBIcNBqkHjWqVq/LBoX8x3emdlKNy3jRBEU2VBgzJL
WPGKUp7DJAhWVkv6w1LvAK+jXCQYlHsuRpl1EH3BUwxakTTWY2XG32wjvwiUBI+ltoC+mi7HltS/
irxF4RDGs6JnLxyvAZWE9nZyRYkTKtnpKsqZXbb+2M8bRTdIOM3OZipSglE2Jun0wgpsgP1UZ+AO
us3n4lPNSqJBvWOtoEYxKklhSg9K8q5ZypOpM7KJxpsMo800KHcIqi8d2yWXBBffpnKsx+akGsH9
WCTHSZLqrAP9IcwJi0dNcBeM9hE/DO5hPRQbo+LcmjruqdDFc2DLe5RscEYh0K0R+BCBGvWtFe6N
bJJTWDUbPVjs5fZwJTVxY0z8LnkQXzettqfIxMOddwgxdveWPFaK+RZO3cNyXQkLkzGweRXF885o
8lWl4sRN2+nJ7B1nm4RKvkpjZhssc0BZaoUx+jKrCsYBHmXcPDVtfjDc4TI19H2kzg99wVx1gCbs
1YbcV425VBgsE2Ylu2EM+wYTn5lNmpHntJztQs9dM1hx1kEHyg3qZ74BP7ubBdprUuUJSOrKG1us
vzpz5mXFZZXC25WK4Vz23EB06pQ2/TBdhyqmZ420vcpTwJp0bUzWZdK776YFAqGyrXvdEpeGqAkb
9owNh6mCCLkscQ1RwSFUb3W32GQ2dhq9avNVy8zf1cxslyMZalmHBJx3lmfxfuvn8FZTxZudMxoK
deeSXqdgG4aKsuH+fqNhFWTeDbFr0u03HVL5GiAcABmrWk8GTPE81sWCFtikjKYgowW3ST0TTG20
uyIeCqA7dvxeRcrJgoq8po8ISk38KKOBOFS0y03nc+YIvO5QxZn5qszga4I9cWsqoCnaOX/MMTeE
l7Mekl+zBpxwmnk0nebOXby8zeLqpU/iBSOVixo9GLRXzU8BBrCVjRnY6pTam/vmLOLsFGEXNrAN
j9iHtcVHbBTNIZt1Mp0iW/edeY1t+LJ3AcZbiws5wY7sYEtW8XThEsCpbEo0fBTROwMTMz7EA1zy
h2RxN6dAlfhp5id3MT7X00NuyutKJmfeDzwJWKRzrNKziQ7XLe6BQYXbt/ipR7e7LTBYa1Z7oN/g
KNTxvtBxrmHEtjBkV64oAJfyqV682kDMuJYt/m38mjrTWTzdhYq/izXWxwK1K7B9N4v/28YIHiYW
vJ/FG24uLnGs4vjFq2Q/Lw5yJYVF/uUpX9zlOEz0PXPh2HcX73m5uNBTtcEJtjjTwxGZYPGqfx1G
/n+zkP/vgTFVbk9/firbZh9F8QcnMr7o+4lM1/7lmEz5fumF+zp2/XoiowWU9if+RV9bqAA/nsg4
JkGs+H4k+03a47BGv7vLn+kuF5JlSPgPoACaxXf64brGiUx8sTGXznhHgNDDyfXTuG9qbX3sHZf0
bcMc3dTmCqzwwjAxlCLS12YEaPuFJa65BksM8SRf4CczFBQrcS+awk29Kk/fUtaliSzyoHfhZhKC
N2JlZKApG2PeF6NRr/vBvU4d+bmguj2YI69ur5OA1FFiiAmb9VZlXO4wNh8rZacwRjcbfBp2Ul6E
ibxOl0m71TV+SC7XVklwJgleS4byuDXoQGBMj4R50mfVj5f5vVwm+b067aZltl8o2lvCsB8np7lv
HPsJs8J+buQ75XWXEGgyczGcWM8uU5RucQ9wRvhoJsdPF19BsjgM4G7UVzNrKQpC4emDtquxIwyL
L0EuDoXUUBqQPbgWVGAA6x70s9+W82OOvYEKJCLxi+OhWbwPOiaISOAsMvpw0yz+CKiO9jrBMuFg
neBIO/j14qagN+85x14Bxfk2KsorIqrImXlgbvLFi4H3bC8Xd8aXnVxDjPFVKQa8E7g4qsXP0VPZ
4WG6Q22ZrnMz3beMJ1dwQr5N+eCQ/8UXQqkKZzEEDCOcXmEYEcrRtM9OVw4aphJowBfJ4jIJFr/J
8OU8WTwo5eJGmRZfyohBZcaokiuFfOL1PHbmy5zDmgfPxpgFg0NyIGpzKxfHC+CCpPXRLMhTKnrR
z+siTslZgqhfQpfaVwJzDE17n7WOUICYkR6F1DnifardSx2sysFOy2FLAqokUp5U6lqoBKZglbm3
AV4PoI5AIjgxlbO1G8xJbNntReaD5gy3ECBBiNpFo1/YWdY/OqXl7AivqU//XQ5/mXZwYfvz5XCD
t6b4oxsqX/V9PdTgElrcAxlPwOxSBZfXX9dD7A8Qb7iEWip/Y6nXK5id/FK9yf+D+NK+phlfq+j3
G6pJKye+B9u0deYHy+zkH6yH9hcE5Tf5ivXQJXXiEjC1NROh4ys18oPSkeaY58YusE/wjw5hVw/F
ZSf1yfKSfKgq6lTift6CLmgpx8nD8aGEmzn5pVss8eokeh6N9pY+mMmP2oL8etdvAWX7yJIItWqh
Q7fOrFXpJm9g8mPOLWa8npSWEgiqGjDIgnfIlOdS5jfYQR9lX2rpdYcf8xar3s6VI5nQAFcQB5tQ
jZUTpBJHrghPYz1UwueJ9PQ5CKLYOkcZmAizcNCeBYwsY2Vhlih9M8jV4s6ilGgTcGyT63bUgo6G
qzaKH3ruJRQ+pfIx1d0I82ta7jByJxM3kuaS9pqD7M0bMxTgJuziQZ2zu16wmJVR9a4v7gsr6mG4
U0HadAnHO+MtWlo8GkWQ+dcxVIwPfRSbnsH9WBkUX8k5EYWL6UBUleY7ExnKtrDFGtzIAmVwkM1T
xsDmLRsH6XR69SYl/qa79l3eiw9VJPG6zXlSTKe7to2F1srQfyf5/is9rNKXyaB2JJXxTp2RrOtl
8pBnzl2dafqmLNKCwXHHCpbouwhkYzEMjZ/LeG9EBt2ceWRjurNnMospPn5oC5yjpoNR6dcByQaP
cCKWDKHvyhTdXXdS6bnTqO+nQWNm0qvfVEgWTt/mnhKYAQP9dpsX7msYlUfLtY9kNZY+PFZQ4MO3
ZNkHz6U0ZQyUb6Y7bzJ13MOFPLHfkWkIGr9qWNDyYiGxB9VnVyJUWzGEDtb4dxm5YHen4om3dAei
arB31qKE8Pa6xlHQrTqnPHVmonCNDs7USRE5IqEInOMmqBQkPC4YK3VsYEqYQ7v4fwm8lE99ooMP
CbtDxyvYtf2GdD8cBxMfj6XW5XouxD4fpquxNh+1tju5XXyXdISeYrV9yMPoZmmXwSrQb7XQUojG
dAYdL83NZAd3mBOv57rnI6JBzaeYNWQbiydfa4JzH8y7KQsU2gSU96ZWIl8VVQqxmDP7rLkZHiS4
KKHZ0i6gCp8ynflQVvZVQh/SpnRM6VV9YXj5kC3EbnmBJ+YbJbKHuHcAgbbxJeBbeC+qfaR2Vduq
LgUpE/g9jQ+AL7TktVEruZnc7sptxNOgRKrHR31YJVNOBqE3PoEiz9QLljf9DBG4t8HOEUCx7aV3
rAAv0qXDvS7nYqcI3p3BcsNts/gjm/SZu4L9ZErzVmeksx/KlCFco+85Dhq+4TgX0YC52SLs6Km5
EBtZJ1dxaEFFTW/ybDiRQFM43Cx58QQkUu6e9bCoN1aGvCIryaCuGRfIiHUnNSoc1Eb9DHTxohrZ
u2qY+1oaXHvCDnlF0T9Eqzy0ie16eZ4/5LLT17rb305Tp5GyyZ/LSRxNpZzMAZkhovDXFqN1bSRO
ZcP/Uyeq/+o3Q9LSq5twNJc4dm/Wl5Yydus5RWwa5rfG0J9rxzV2rgrdrXLt89wPhe90EeaYBnMy
LjmQLtH0TqKzJc/WcdLpcC9WarajOHFa9XaasNYaL5UlbrucsidJxcuGukLpU+OU+ElVFQR81dOA
X2fNkOtjmCfXL0wu2ok++AN4ll2aFi4MWQEjo69hQ6kIWHiQ35k05p7WAlFVA2me4tGMOeXUIxNg
klCGXt/Igvvc5ODS0igaSmMA14YTk2E2Jj82Ie9MSVRd5rbcT3nwkhcjUEdyPmvdxvE8GrxbqyZ5
t+wCUSpI5rVZBJtQGNPOKpp6X1Zik2Lp8iPbyjaOgw7Gejhvi6R+aRyTpiwF/2iwLVEwriOFKjez
jF1ys1JdMVF1N6NSABaER3BN1AZ0Sw3eOjQuEnJNmy5PnC2yITl78hBeMEzTIer7b3BtYCNRL3TQ
yQl6Jg4cUHJhsYuKYr6fZc5rIydlY+K4WyloHauQOq6V2Q17+qU4l2oOJD+TiqPMPQTufFTiOadg
C7knSOdreoHg/ti3jmJbF3OL8BX1+NuQQ85VH90VOnPYFLb9hgh7vOojpaGas3u3ampTctwR29Fh
nj9p9JoQqx5XWhaduxj7QcDpPi3jYVtV8xEi5wXBfB+q4HkgXLk2klpdqOIY3u3mBBn+3cGSmLUB
+qztotpRgAvVwCQF7Uxr2ieYws1cWVRVPmh9+lqmyjlr4tuUFL5H4ai1ThoNEIioPjKAh2Guik1n
CHCdseBb4n73ZaY+V/TirYY+PgVuj11OUwdf1k3glUF6LBzwn8mYhA91lBGmD54ttKWVzkeX2r1P
4gLPpgGwJ+pO1ddwuMvfA1N31zS+wSfKs4e+dLA+xIx+dUW5ntVK9ZUMEg3dJgRC0mNG2t0T7Klw
21jANO1jdFrcwcGFA5poq8bTgVub69epwuWueMyn5jQWOibEKc9J/QuPF/RQt9rRzPJvSuV8yhE1
zUJQpkVyF7TJB16ITduX3baloa6t+FPwKg9qolJfecwTpJsebEubcqFL3qi1WnJvXJoae0/gY3nX
OKHXWs1hbiVCVsrLkyNcJijh48z7OQ50VEJdfBjwoFe4Qm7jJOQvs4APoOvjBu6aANWLL9OJt5zc
XjiB7eORQnNOOozwrcNslrnXU4Zg1Q4XFfmoGXxz4rdU5STHFBF/a+Qd8V0IC3YA4xInl2rnuNmK
B81gw3OLcGtGGm00DvfPNL5vJCShqgUlrJD9rWL3gl5zTCW4LHsFeKfNRRmTRL7FNY5MpydrS5P5
CrEF8xfA5w1RF6TwGb8DJtjbfKj51ZwCYivnToBBMVU0xnJ6aPa2ER3klHxGmhlvQulcTVqyLedt
6xIDdrYNoVdtvHCU9C7KBhwwgq5QXEHbJBnAX9gcZIz5zXDkxpLhm2PFF0LvSRoGasSLVb9CaFgK
7CQ4oEodmiMfn7twYsqAnPWgVTCtLOp0WpBzAPzJu5KvGbrUDxyjui6sJoeTUBC5XIPJ0ZTHaChL
1QOM0TYHLBASHFYsB2fYlNmgTNd0M78UqhkrvggYpoezLWNaEtNDCaRiNaaUSSLBbWc3RN8slY1i
J3BzU0VuYlH6Ik97PxjKJxzsXAydoUYODTW64BJ6cYtbKaxxw3D7k6boRxHbJnZ3jd807jau6e4j
W7xynz+PMU2XkQ0kNoq7nO5rPiFpKigVkoO2UtCJ2U4mzoUqG1vLlsbrt7x2nM17F16rG13UDTDu
rBL+2NmnoYuv3N6+IFXmroo2edXcCXyQuABNxOmmrN7YW0hVAeNKC+e+jWNx6Hr1A7ZRsZ0TFT/v
4OzE0J9xPEcc8gCjcpVYca6RvhUU3xqZ7wyq4/GVlvOmpjFC1DTLpsO66DAnm3kpd6y7F67ENTKZ
bHZkdnb9wCc60XlAE/JUKrJ21UJ/IkJsrcg2bSud066rpS9pHXsiukoripvMaUV33p4CCTgNznCi
CqNmYtNd5WbyjXwYE2QNi/cUn8pQPZmguykqOAn9ymJyQdue3zRKeBjU8pG20n0Xxc+d3d1Xbolr
gioNOuNGy77FJOJx7j1Ntf4SV9rObRVWxjzcz5M970FIvfAD3keL0mlzFlxHXUU1Uq68iLwcHvN5
CFdlnRxH7vhAGumAnfL5Ug6A5WpLe6oGFRtHei1l8ZpWDrZxssv55D5nZklzXPSYU1n8X33zl6mz
hh745xf6Y1yEfxBnWL7o1/s8aG5bmDQM0Anwlc788T5vaNgTF2jD4kX57TpvgX/gH9t2GPLgE/lB
3jRhgDs4GnU0UYqp7X8kb9pIBj+rm67BEBTfokrQE7WBHMaP6qYWGB3WJxtU2awYzT23WrDUXjHl
mg+qnyYeB1UuJn+UGk9VaY2okDK7VhWDdKJBt2sTj13sdbYa8Cl2rBYPcdnM/mQPzOx6s2VO1LbB
gewf+wUtSnN6XXJvB25/w3znZZQ6fQOGcZosoIFiuexTM8LFq47eShvBS18kAXBTEUZ1xRtRC9wi
SYlZw/eUKAmRFjxVX9oCWCOOTdmX5kDBOPLDIkQMZsM1BM+0PVpe2U9dcSmUiXASU8RYxAHjt0xi
NsfXGBRD9aZjqw7JzdFQlgeeVhUbyHzSK/NkVyfKLgYVTn1o8aYSpYbnSM0Ym9x9HCrv+mVVTJel
YAaJruO52Zx6QRbcabVznZfq2gVmmczXWmfdy6F9tByc1Bxw3f+d0sX/e4MGDUvQn38Qga2TtvzW
/eesYfm6759F3fjXop0RrcYDglEHLf9XbU1A0Ae1gqpkLHB7ZLd/a2t4hReeGnB9AxOVoy2f0+82
YqJKqga0+DdF7h9oa7/3fghHp83LhbbiYmjmTf3zZ7HrSczRzS3PvXoI6U2cbsp2+8OT8gfes1+8
yL/Jd/wWOFy487sQzfSlquT3H3gGfEmSttXZkDh2WyAALR69yNAL4xypwK0WR+mYXs9lbDmnpSr+
Ce1dT68d1Zy8SM1HnVK9ymvpCq4jmkiDbA2CYD3H0Ar62fCmKTsHUFCyUqFB3iUKWN52KnbFKdLW
c23fjHG7o9CVwsGcouO403xT1AcaS68UJ33LpvRVIazbV9We0OITJgcOknF0FQKRcPRsb0f0zGpj
88mpGkJvLP2MWcA2rukUVnALrmi63dUDp5veTu6hZdVG6/HrPYWWuldZPVZAMA6UlXxkLctKMAJX
mfKPoCKf4OQV9Dd1JGLcNhtI7xdwYKTvFMtUVIIIrWz1bWyLgyGUHFmlAHQTHmiav29GdHM97h7T
fGoBTsj31hKHSTTFpk6qyyIape/WtkFFZGB6QdncNjGxXVvARwsn4xIsL26c1rjOJLT7eeiflMSg
6pDqXVO3ifbq3WdiU/PiQPEgGlbiNRdHWzaCUXAdr7K0TnaWSoqbW2vojUlfrONKZ7QOAQL1cH7U
8hLdDsmu7JUbE/QkPSrZncxhfLpO+qzUjVjpFDW59HGesk6CjFDSQ6vEQO60mgotJ7wIu3cjKTcu
pIk4l7onxpq7ATSbYCYIH9QQRctQOzRO3/jdYG9n23yvYhwAcmoIx4l3p80j30niTyfn4BYKZ/br
zqWyzfoULLMLmzeukae0NtlFOoA4bXS8MszPoIDetCSh/10gSGIu32cxzedi6Daxs7iEDDyjou3k
Wiiq68EKPTPdvh/CntRw1gGQj5pFNb2F0ln7pR32XhHgYRCEOwdmS/My93Cd5FYHbY8vgMO4Ozym
KmfFeLI+AX++mFq6JFhwuRpjSvQEDNFlkWeNF0IA8VhX7sOpvi2EWcGJM67CzLb9qIzA247jy5Bk
vHtkTfRI8nzY9vycWgGOZyZjA8AjAa9gMzTqfRpmnJAJxYwKLY9D2KGcKJ+d4jwTOmewnUbslxp6
+BjguCBwbZXgmIwp3VdfXlkpmjrYVTwbLqb7+s4M5bxiYse73M3S+1SlL9qcx+RsGfKurnWmO9VH
jssrTquMXFn1jQptNjnkEXwC6Dip7I59EyePQnQkfoOMu+pD4a7H7RRNyUUOgjBWlJumT9xlhpfV
xIpzqigGAm2KDXa3cavSazMQo4gJXmjA2C2NS0HzB1NOqnHIdVd8Npf41Kkt7afIMT9idaw5LnAJ
EbO2ycGfDNF0ZFD8qoz9UXYx2bT+OexBQrHm3DSFtibRdVNqxl5qyg35a99Swge4T8+tYzJTUI+u
DM+YV8+U0V/ObbeZkVaBoX3jmpBxG0r8tO3SNbFiLyVpZbcNIBr0paYaTjZVBk2d0keGxwt9XjKf
4IKYOAoqoXI1dc1DHrvpOtDbjxbEnV6Pj0r7Yfa8EwfL3hgCnoEX0J2A6SqQjIehtyjKWh0m+8EO
h3Fb143uJSHBOtOpuuqUGsZTXgpCWzOcuKEIqVZNFnhPWopqWuUALbZ0uzWekzHxdIz8Ia3bTdPJ
Jymzh7ZWnnFzGddqb85nNrx602T1a61r+6gxvo2Bc1XPgO4yN1wS7XgBUZt8aF6QqJMs3uRzDv0o
d6bLMI9u4zB8Q+dWPJn22bHhisIYt8MiXaBwii56LnReRRndxXGZAHmHlT+0Tz1N3QhcRr4JFtt7
xc9HUp69h/p31gAap0DM9tV8pXSOcmcliIXTBAk9bODr8SlvHwO37X3R2fmOT7Pj11nnC2sYdoPW
yS2aSEnZTDltZaHCFc7g2YcdWjHij7mTtPLumBJTVd/dtCJarkXbZFhGv0oA3JHpxWxpdwyxnxpt
vA3NxtoTSXkqXUnuEir06a+3XQ4PP5yyvzZdkgAkyixcBDZB5Z93divrK93R6/5cOhIh5Cpx7ix+
apM5fPJ3VumfTxHLYzH9szRDW1hwjP24Ovx4om9bmOYLxugMRjtIH+ppEyl/43b+u4dY/vyHESDt
PVkm+0yeKz6YUEZX0fAiqtu/fs7+8EFcLBw2JzZNX05dPz5IG9FqnBRSno3mri4vRgX24f6vH+I/
Xxaeqh8eYnHq//B7dGiHoSZGeRbObV5v5pxOIXlV2K/J9DePtNh2fz51/fxIy0/ywyNl0WDmFtHR
M/WFK61gSKIf+pwr+3rID3P+73qtP02K/WfEQHMIvJkE6KkNZ5b888N1YTLOTadJvAVPWoc/zLoL
o+OUP309f/81NWnYwv/8rrHPq48mfs3+4K7B132/a2hcKJZ8CWZDTmjEAn+7a2gW5exc3VkMvogE
fNX3OT4XFC7k6gJQ5rP71ej+fY6v/8vCZu4QZeSW8JWB/Ad3DXwBP70laYQ3cDbpUKJZlZZrx+/W
CTuqm2JU6ulyNJgtb7SU3rHLyib496nOc2Fy1IKny+5uMAecd6WVppIyzjFhBbNEehPoqHMOXsZd
ow32BP1Hf6frtaVEIXglZXgLLi0/TylJs3q29A2cSxD+Qm0vS8v6jCqHHTendlwrIAQxdDHAopMu
7yxpE2DWzIsZhWyvFFnHcZ/p1OSNFrP6JAmbU6VqDEoRnZmYpkf8gYXfVnLakGusVl2d4pUmwecR
GGQGjF/hJIbpkJrxhVN2wRFYW7pJFRctD9sWpD7dgnEEsnozujYzrY5tuOaM52kw2ak1ZEesnZ5A
mVCeM1bvyhqLgx31d5pFhUSQo8yiAFde6E7KqUmsd1mw0delrW0pAP6ck+QFmRdvqhi0fC8DSrIq
kUz3TDcCxpHRZUgn1r6Pko8unPVnjr1MfvEibAYrq327zTDV4ssBSe0WLo0ogba2pKocRDWqF2Zc
dNuYMOEqbHrrorHta4ec+y03ob2MpjulAqhQikJsVae8ti3GVAQggTwgCHE85RY3pyjuQpW4v6ZU
udCiHg/21ETm81CFjNhVIz12waTRLpErE8fkuWms5iritRtAY8WXk8aZfUWHRcCIOOE7uZ7jKjRJ
OW6NzwBPkrmvukm/U/Q+i/cQrOZDMxTuVYyZt16Vs4MUDprXCK5cVHFUaSpZBs1NL3QMAlqYz7di
YJ/2/7t6fXmQFlnjL1avYvoDB9LyNb+uXOa/rAUjS/7E+Z0DCXMSKWwyMNDh7F/EzO8rl81yRyeh
bSHXUemzrHffV65FskRv+Det/h87Mn/OgqGXAnoxlp8BFIZB3up3m6kRZZUWDnZ3ylMr2pRlFvtj
mXOXvCaAOTP0id0omK21iAY1wts7pHJtap2u4fXVp0J6YoqBHtZOXE9XZCxMBiVOL82GlMFo1bCN
zCwytoSd8TrRH5rFFI8pQTLovhK4ZQHm0urF2e57tyl8G6IThGXTlC0N4kqdtK/2DAtkxsMNQIRh
0NgMbstFPGq2SVu5l1GtRvsQDN6qllLc15Qmpw5G6bovAdyJNEFaqOVwhOM9bbANFSc7S/sbut7k
m1qYZkWUJQrf/h97Z9Ybt7lu6b+y0fc0OA9Anwa6SNZcKk22LN0QsixxnsePv74fytvZsuw4J8C5
aSA3CRxHKlWJ/PgOaz1r0JtpnbVyfozNtKSVLYOLRDL0NbaGCHmLgi/OHjVxxQwZIHxfjieYtOOF
gorba5DIlCPiJ1ZfavMIcKl1s47NmBuxX93BtexuVdCYLp+g8WTPmbMZomxkAoBVHAU6s09du7Zn
GV71oiHKennSGdSCVDK6DmGKKYuLBsfPOsUcTxCKwkKnbbG6MH4hL3Ieum0dyOislQpvuONE6oM2
V/NlNMP/BbzXq19SesRDTxLRTiCK/KwZrQa6QWXPXdG4zDBGz32fPvGRFrvaMZUbpY3lzE1gApwI
qnZWBvEAF4JYQ3IxDEJ54rbdOBDO/GR27Iu5plPI64KORJAFGSHvfGKBlh2Rvref+rzsYWIkBaaq
WD0R7JUh6okIFCdSlbHKVJtXDASkNWdfe6nFWuWx0yoPrMWHQ9ume7bLM15hyV7XhpheRh1Yrl3l
4X4qY52fLbEk+L6mjHm/xQNfCjQ2XccRXgu72FQhuhsdT9FqMhoquFl1gn3WSOYnxhp3eKrUoyrZ
1ZkfP1hLKQ7vtlRZvzeNfBZzhN+ZDMFdGLNRLXHq0G5X4jpq7NEb2rH2RdxPfjjMwbrF+BX+c7J+
WwYtQM4/P1nPzWMRPv9cFS5f9cfZyjGpABTj+ETV/jpm/j6B5mxVGEGrS5dIkrVJk/j9bNU+OMuK
CBg4LG5bW4Sf389WDbU7mxub+/lV+vm31kG0iD9VhZzeMO3wIKq6piz+yLeNCn2yILBMDk4woWEn
zlnqoPpygoM01fKhsNplwy6L/kFPon0ciHs6KMgsVvKkDYYCrooIm63JEmnwaw3ysFzVlT8lKBZc
1YzKT2EDl9ql+gWxV0RYf6QkNlWyd7TmkcDQ+JmbKEDuUBiRZ7RDCX6K6oqqkxIxTmowPy3c3azR
h3XdEBa/FxbuGScViP56TJJpXKFOTwyIABPITckOOZBSIraZu8I9UJ2v7M5xKooFLKUlzjojRXrV
Ciw3URPus57ybi4PrSET1TFeKdqM4MzZBpp0BPizU8JoN8UBmQ1LSMasSIZLfABcXoYMFHXmRq6k
y2Sok+sqsA8dXjXXDO2C0rBVjgWgGVeViKMSZpKsGszuHoSI89S1Zyll6DyGukxQAWPyEp8QoV7s
0zN8PZUba6J5SbXuJs7kG1qL3GDk0RWXUo2NR9OxdNbVOqzM6DPyBddCAxaQ1HEa9AxMQBm9QDSE
LFVZOB1JRiHf23OElhOtaYzryl7GffWssrvON0XN262Q4E4qx04wW6anKkV0HhBZbeMKwCTn8LoD
YwpS0iBrbHRRukGKcHAZVSp+plg6weyheAVBLPpK/9hywFtRSnCfyOw10DTG1VUOhGDGTVZZ1b0B
fY8HgeTE8GKJyHBbwXbtza34i83Hj+2OTdPEmtMyAIZAMZcJXPjxwk7kaJRTp00uVDmq1qwj1cdI
LFo5kQJB/aey/FZZMmj48/Pv+Ni2z79w+yz5RH+cfw4EP9h54FxUfZlU/acrxgikLf/Zpu3lPGOx
/f38YwNH4vSiipc5IJlQcyp9P/8cYo2gKePP5i9tSsK/o27HHfTu/IOJwA/GP1UCD3RMRD9eJkPv
LFkZ5ngWbJctPyKLkhGzhaAlFDFZQ2pw6OY01HyRDEP6CWQnNhZFhh+/q2Yu32kw5/TYMsmc/YRb
aMYYXBUl1tZCM42nie6W5rQi/JfclQbWMHXgdjKV0Hlx5FzpbsgLYfXUxZYeeAEQLweAfjmCr6QC
lcgTMEN1xgGdjkjE5pLp1crqw0nxczVsZl+3FFw8izaJaiRVSG9MsYM2Q6gbHzMFw/MakyNwO6VC
W4UCeluRZrol7KVPXkbNnggvpabzwzBhFobpXN5G6B73UmBnX2IMQCSoMF9fiUoMvpRRwRIgjb0G
BPJKziVWGRTRXwaDsnKec0bUspCilVGH+sYQ0Ys5SvCCCvslKTJi1vIQLHHF33EQYtsZesQxVjke
ohDpm029jPQdEhgDALAjjcTS3SLmUMUDgwqdLnLVyOjo+mWuwFNL3oJqg9seoHpR7KVYm8twXzVS
dqkvp302Kc7Grorn1JqNjZYBMsYCpG/asot9GeLXKg3BlulGn12mMmsjiL5MggZ1ldf16JPoSott
a88RWp0tqgIui4UnnIc63oIyhNFrSl8qmPRbc856HnHEF0Q8gqwxgCxN6hE+xWRovbHhWZN1AAPL
Mm+JXZETT5Wi5MTPDJ6R5PF9Og5uDMjVU6HnUMWO4spxAmMzOmXut4v3G/8Des5G55nRB8igZtKv
clv7nBWpingCcHPT8CwhhxOlECSXVVchFusZfG+wV9RXbKpo98MRV0BM2vUslJotq2CLRBmZrWfZ
mXyevqiy9Ynnt2IR/ZPjEQ2mIt0qGXoqktjz7T/H5rdjkyX7nx+bh+fmV4cmX/PHoWkx+jPBikBl
/3fX/b1oVOUPgMcUJnkyY7y3h6ZG1/2qJeD0WQRDi5zg+6Gp05DjJJItOGFUnFSBf2OUaC2Sgf8M
txdHEGsNiK3MyYDNoC748cy0lCqUlWjuLizIySQgxQ2G9kjNKG50Z2MN9iPpweO6XmjcCkHvurTP
W7tHgm7FanLPadQH5ygo+3qHJ47KIOmTUfaxu/cW+VxNM14WY3VRaWl8i7YUxzABjhae5bll1hUl
D1pm0PsX5KVXckCbH7LGIfC8WCYDqj7Dtn5tcmqqwn6nB1KOKknprKy9zyOM4WSoYY1Gpqr1Zhu3
FJ9TrOzznHi1m3BmJoa4IFhCb0BOER0W4qC00MNOA6EYhLclGykVtT/WgbIZUlPxx6meNzIxap/m
IeqVbeoIc/a1thehJ1RnnvysRyjLsHU50Qu9ktD1V7N56kUbESCiluZNbJoN3AWrQjhbiHajEH/R
3aRaBqPB1KvsPFFOq5va4s8iJHtrHnUnWVX41xNK36i0dph4NNn/5xZ9vUV1Soo/v0VvHovu8V9u
9tg8/tzeLV/6/U6lhqG4xGuHRe7f4/s/7lSVv6Knon2jruB++aO80egJbR31HRMySzFfm8Lvd6r5
Ae+Hpjomg3qWen+vvNEX7dOPt6rNFN8BC6gZMIr09xIjSwmVLGuM8qwCJFtR4UOIGIXwp6nIV2Dp
FcbT6Rqm9g62HOoRp4juc8daPM1r2+k2KPguLO7TxJDw+ga+rKN/zhKrPGaxVZ6TuPkkZP2z7SDD
t5cgPwBt/iDSW7Mh91vGrA94A9hHmVhXU6jNPKcgwMl+RsFeehiTZPBu8sUcxYNHnumAbTVCNWwA
FijkLiJj0PHnpGH+EuKEQkI3B9i0HNkotxAycuZz+sUkKuJXOGcw9raGF00d1q9B/sje2LMS4Y9q
Rwoc4DbXhO0NB8d4MnmfiN75vrUDyoIHO6ky07hoApMnJ3ZsXwQEPPQ5sYKQm3f4uoIdwFmY9uQU
lliZN2jzs4OxJKoES7ZKsKSs6E3yMV5yV1CgAAAOkzOzGBdLDKyBmWGN2d82cW26iHc+mlZ4rpY8
F4h9R32Ka/C0ZL0QFtN7xZL/Mupy7ToNn2la9yfSMZgaEvS3hrC6OHj3BkEyFBjXTkIAcICcfTWP
ytZaUmcE8TODop3CYr6Yl1wapDjaqk+azxmRNUFfwguKqyMJXpwgS65NmKKlWpJuyCBM4aPCkKuW
HJxMJZm+M6/SJSFHY8lMFmXo10t6ziiVT/WSp6PK7YVKwI5O0E7JcDIneEfJ+oO2JPGQAnqoB66Z
YAnpiWE22EtuD0KI3teJ8mkLrBBE+9S1drIMSIwd5nW3XvJ/wDZ7KYFATSJdpktC0JzStxoNqUFQ
Xa5VUz05BLb7jRgmV18yhtTXtKEldyjTEY8lBK+TwRX4bdjeTktKEcKbU6gHD2LJL8rIG2YHYXpG
J3/SiThKtNrylAwX95J+ZBODRO17VIhFmolHqolJakzykvIlOSlozV1YE/IwE6rU9e05LhFhXJXU
XvOzmLJ0a2HIc9LqEwViTZYiM8J41k9Fn1b7pHPuy1S+7ozmq10RCFrTSc8hcezEK7WwgTtp3cjq
ocyii7gs91PSXvBsuxwA33p1G/WbLOjHnRkYL7MpwQpOwPFt4j6wBtx2w3yjmvMprBueIsjl1mFM
auCombwupXfWbEZrbn1hRdtx1i4b476VqKjz3vlYOMoqS8JDo2JDyjuDhRL5Fgxp+5kYoyEe4XP0
Vxx2iOM6jxU+45yY7j6og0ut7Y7Ms8CF2N2h7ONrS7HcQIQ3c8Vsxmx6LP4TyAK1ISpFBwuwcUIF
gKBg26al5oYpQbityVhlgRTZPuPRxTPKlVNUMIUKRJkrZCqX9iR9tvTipWzkrwRupi5Tmk9zER5R
awE+rLEoGBpqLrkJLEwp1Re7lzAKpNEpnmyOCVm+zEtMGj2+sDMq5Wcqi8mX5/G5bxfkizlda6Oo
dloxPChlvq51+bOILYr1eu0sYjb0kKy79FbfTH14V0yMVtiTMlQRG3x1nlw1l06cHWQzWc9thVmh
ZkpvEfzO0H5bFsLZsx77aPcB5E0kcZqj3yqyoW6wl7Ye8aAkvU7J5NeSeiI5s7y0SufaEO12yvTY
LbKBXV2mgr5JlBW6FljK1jLcRxTUpa3uOnH9GNVoITvBNMfMMkJdy5fQeYor67rttOuUz4TnAPbc
sGD+nNmXJLSsZYx0HGGLaCwAszDMY+xCR9lEdW2Bksjw13XS15hvZ9tp7RkGkzMjJAsCiaTZx8NB
l5TC5xcqtoY6XU9F5pFqH3l4ahWvtwnnmPBv9nYDhBy3SSB5qa0dIgfgEU7bB7md4x3HMc2xTtOl
T2spqm/UONiYs0BvF5m9T4k2L0vDpxQQLLlg2qYxsCIPdc06FcKXqlY3vTEdWTgnrqTVmx65pZFW
F2NZZbtKGRGUTtcyceOIuMWa0vtQ1qhViSu5jWbRr8defU6dnogIVqpYnRN/zpC3/lNPfWt5mL/9
eT11fEx/MSdX+Jo/Cin1g4Z4mam2DX+FKOs3cyLtAyBe7A9AkBfkHn/1fU7ufICfp8oWfTEZDa+O
iu+FlP3BXEZEnDIKldbCTvgbLY+2EP9+LKQWxwaVmQ1gk1n5e+glugGK67owzumQhQcpzOvgZprS
ot6aapxuRp0HrLAAddXID6EgZTu9Qddq9JKxTQOkuLlQ0f+MMiqEJAP5P5FztNIt8uQ0TH22wUB0
pJxiKFHsJScxTtYc1DQq8trMQZehdVs7s/1sMFLABAZBIQj0GZZJFB6KaTwwYVlLNiMUOqz+uhta
1u6T+ZBNTrFqk8jxR0x0mVxuZ/SYoxpe1wqFhmyK2SMkaHCLvNl2s3LhtM4zQIWrWLPPc23vmN7d
4MnfSGX7WQrt6lAE5aGOoDRHerxTnJGSInRtKbrJVeNjGNvTCvFJxFZTq9jPhffsx3aaXfmJHNzj
/X3sI/DuYoDlnnbDCJiZQUlMkC5risFtGvx3nHiHejnD00aF/ZJd1PjdOMvDU53rj03UnTv4bh0f
NIZfAjDKkedSUO1zK7XcvCTmyLHJNeC0UFRmVTwc/BTDnFVpiqdZYj8H0me7ia7EqMO87pJdH5JS
WFvtjGcD04q9+LKVAMDFWG7Zid6nNJps/krX0Jp5HQrir8IqeoJR37iiUgyvUMQGFuI+Q1+y4al0
UVS66o1dFnmEyXyqgkhnePPSm0Lemqnp+NQEiFEMqgxLeZGmFj+a45zrrK9Xc4xcdLDqW7uxgUI4
2RZ+4VUG5NgZmNzorEiSrrJcIyzS1SSH4kEUxEaG+leLfSlx2AkLnHK+15tqD5jiYZLnqxrF5dAo
92OFVxm+yAscb7gAYwpXjAl5bolt2k7OqtGVlmZ8fJ5sajNJMdBmVOE6UfsnEWHyZDe/tob0SdDt
lBhaF5pdbLZfBrRpRzbiaEXyhSrT4UPIvHFhzfD+gTSIBUADih8YzQBVyVp1tgWuIec08Ii3R11M
gGNGWDWf+AwAh6ke8Naii9eOhGN3FaQSwSRVFG3FIJ9nboYrYSfWJpVsUGSsjQkAUfealmguntaV
VvM1c1xJ5yQMtZU1yaVPpgYgH6PWCFtTBJAcLZ52SK0NxpVlvLftaWZ0YYw+3uIO7wL4BXkY1iMG
ZFsOz3jGUYqqykkjj2NlOc4VnKjQa7PkojYrqmDlDmGBuGkUKb0vyM5bqTWYMg0VixI0lW93XJCN
qaXYOMPVoENPnAr6Fm0Ze9LEcd2oJBpZBShqZeyHC1gHcKJLMKCSOKUqRnsHkXiPfGjVZ6in1bj9
0vRLtiWj3YEhb2FSYumGvZfoSPdKmNleuVQJuGybB5XRzAr4yej34WCu9MXWVEQWFmyaoLVUZdA7
ull+qhX1c5LnAbUO/+/YjPammKnf0jQzNmUODa4l3I+xR12uFHX5/QZmvpr14FA70SYbx4uYO8od
YdQnTnMVjbxrWTIIgykPitA2cR50fulgzUzmhiW7Y7tThJ1es3t+QzNoABbuUGPEOi/yq8iIyfld
eAwwLA522IcsDuVNbKT38tBseqm9mdNhgHQMETECbl0o6antG4BbtG4urvdNUFVbs29fQi1YFoxl
T5Rsxg2LuFs92VN+m7dJdnSi4bLgE0U4BWsvL6knQgCaiCLuMKqtR7069IH9PJUqBXKZ77t0ZJ2u
TBvL1G/+qRBeKwTtt7skJi7/WrNPf4rbp1/IlZYvflMqYJZinY6xaQH3Mlj5Y+aiIbRkZvptofS6
bfpeKlgfHDA4ZCn856u+lwpMW6ksDB7t33Km/lZe1PuFusHL6/jHXssFdkrLwumN8tfIUKMkQTOf
5+6utgPsCt23beN/X+zLd5WZ5Zo6ORhYOJef4M0rzFUAgJWHGXmdEiuRtZERaWJ8RSn/pkT7xQb1
x3eCsPzd61CtvX2dUlKquoGYfzZoY5SG2Kevv3+BV0n3fwbJP7/CO2FXqBBttNQDZAqgAdU/Ws5L
KQnXkbCXDz6qCrcd7qt+28eXXRmslPg5idZheKmWV11xE46L9vNgAuMlqZC24apPbkZatMn596bi
Tz/yRR33pvz7+Sd9tybUYinoxmb5LDQ/YG1TV3c9ZFX2cedxGb8wNYnFiyWpkGJRYZnxt77hT3+A
1/ry/UelIAcGBCYDFlDfzdx5aCjdIFvijD8uVtg2Ndkx1VXSo0Wl16QFA+Hrdwn02Ab0u9GP10oG
+GMk7ccdZGl2efRFtI29PEBqkfej07F+y/LPaq7tQX9ifydKXfk4aTkE/NRJ4EbYPCOSxG9MspDI
XlKHeq10gpACEgDn82DGPsswjOkStNp500zOZa5eEue5DvrPbUBaUnvbhvaJTAn2l0AF2LurYDQY
VboWue4C1EFq3JZVXXsmgaNzDYIIfkGv9EdLzv2x2or6c5vkKyERkjgWB6XTr5LklEz5ZgD6/BHd
3qrSiCMondsOeavOECxZkk2NONQ9HnJUFzbBomWa3aOqWOU5CgTHCFoPLOrx9xez9tOo9ccbX393
u6A/g+c3tfNZ3mjbYDcfuzttY++aM1LAI+I3F6KE57hirbn7Zg8/15vupR1Pu428MYHXJ9+MwX9+
yfzFJbtscd4cEzo4PytfLtky3ZEwWwAHIqh9Xct/cRz92Bn9fGu8O/CgnJFFEfE6OAyz2+lrHbLL
dKl/zeAvboJ30+xvL/X2JqATfPuW8JVljebE6jnS3IShIHkdTFlXI7M+ZphnCEC//53+6gRkBo+p
YrHpggr78fVyM59ID9PUM6hK2CVfBuny9y+wfIOf7uo3L/DuswMkYhVDqKrndvB6I12NkttO6V+8
i796kXenrDM5TFFsXsQZDnO978xb1Xz4/ftYfs7fvY93x6PgWY2WyFDPKvf2RMSZbDKXvnAgwb++
0P+0A+UUPzVlW750/3v5zk8loI44jLr/8+Mf229/Dp9L77F7/OEPgETiTlz1z424fm77jC/9duMt
/+d/9y//9fz6XW5F9fxf/+vxa44rIW67Jn7q1J+3Sgq/lt8MUMr2X/8XsWH23P76S78XRwrFDAMU
xg2q9rOW20HhbejfosaXZ9z34kj/gBUdGSImIiYcy7Dkj9Wx+rpVRopjUD6RevC3iqMfL8VlGgO2
bRnvLElcoOje3VCJbdFWFFwZfe7PhgVZfqPXd28+mMtvV93buBWMdD9cjd9eBZcLfn9Dx3FjvLvg
ayJnWRAbyUVXJnHmlbbMk4dNCiI5sr39RGsb5LeqQmwXUr1+Ee1lc3AYGDNcy1V0lcUQz40oPo6y
zIxEQfSn2D1mWSWWXRlF4Kjmu35gpLxI53rlyPj4qhXqqUZJODXamYX4Xk7QKOaL2DCRa2dtLZIU
kmAEAxrnK5FGI9ZeZIpJR0oWR/ULQ/qGdYiJmpHEGJSNAV8/LWJHAZDS3I/SnG+CcbK8TiJEOXFU
pNz9jNIo7Qq8O6r+KdAca2Nlhvag5vAwJc61TSynkelHfV1lzNTr9K4kpwqqE+DGbejAX9spGlAd
Okj7whStoKUBIQcDyY6iVadVmv1pVmuioWs12zQS646NUo64VImXQKhFiKmRdyJge8aGkKQw6cT3
r7w2ZhGwWHdLqdjYdFWe2TN7QPUNb9Cy462W6em+R1RtX/J6rfZgiNBqD6oohxLplXZdWo0xXUYK
4+o6FM7BaUxrj707vEcOqd8NFkHadiawinRFr+9spPSILVVjnLc2Ki42dWPrfCxLhv4mK3cf/qTu
qdUUuVkPmLIOQ7EbVGO4cPre8js+8yM4tfaxZaA2CYA7YrLVlVPHOwmftY9MA0oJCQ7X80BvSyS6
75SKc43QnKSjBKqjLRzMCVWOASDVvaFEA1nHd3ZuDEd+dYNn1vHss/xQGbjRv0/ZFO9Ngh18i9HA
pusyxS0c1pltNKjkWtXtxtSG7agXuMontb0KaeZRJeWnuMgIVWyLdU6Iq14aOzvqEy8ws20Zk4gQ
avJl64w3nWINH/Ea2y8ADpgBpp45TuZLGfeekVMBBbVyK0v9OjQ7IhXK1HekfJ3adObklK5as/ra
tt1zETfPIhGfgKGQBzbsnSlfc4Bg7Jo3+iSfhD14mtNtUZ0cZ/z76H2/yEbPqE5aZ6PC2AsQYi+e
IBujdXoK5F7xRjPTUH4Bfk+N4d4w4y/ZbOq+2abtnilNSKjdfFRzdaeF6smsem/s0/uKXx8LDHp3
2/KDwVwD9N/28nw/Ba0f5iRu1HK90kBLwtYvZDbW8JgVQdNvWZe8x2sDLL43xXPITC4AETfI8SnS
TaBYgXrVZUV7GuvuEKoTFzO8x6ye5FUaWFxluTg43ERyaUESbbwJKKVdaSxtyztp7thWWze9Gl4V
dXXECeIOqnPM++EqcpgIqpVP9mmMwm4ijYxkziQiNLdvyteEzItUSh/KVHmo0nwftykrP3uf9MoV
q1yWr9AVsuxk6IlbZ7U4zJaFfo95qQ0dsk6tbU8YsNMwfYom0PnzuLfLWezquSj28E2/5oIdmBSx
jBEhCQjGpKWb2qk2QYtlfhZSvf79yfsLj6Fiq9hQqdSWZpp//1gwRUIhx8PMgGXVqeoPmSMws4vU
I0EvO3a5NnrWAOyxJHA3r+ZnGsz2qq5T+dae7WxVTtN13yRHeQq81LHu5Knb1JH5UqRJ6FUV5AbC
RsiGEfK6nLmmkY8DFTRad0TESFYqfh3L7rYQ2b5Aqe3dOGk/qfgefZQAZEPI4Byywh1raqydUqVM
IYNioyTNRiWlIiO/uc2tryLLbwCJ7HtohXOb7eseNHZVHm106JtuFAC4RLxVp8igOY1dM4DkFenJ
JuS55LVye62LXnGryNzLkcN9jXwIqIgCXKCZPibxoCOhZsyrCvWsx4Ti1Sb6+ClOT0M1X0RtsktH
Y2NAPPDirN4FReqs2JuxjrXDNcYO3wirYxYChrQK9Rxn4yHrc+TqcGn5KQnXEe26TJpzmmTX2MUZ
NRZD5pmFFLtahUCwaS5jjWozn1kMEIP6UReA4AhBeHSgv8YDF9PEBWoz6E7TegFjIkXKcSkp90ku
vFwjWsPRtyPnkNaWX0vHOsq1PKxCR/oaKCZ6D7VmJYgtKM1y8vCq5SzrjrFlflblbC3LAnYqI1KR
q4qbtCLFtRWetRkvAXD9hXuc2FvYmv2nEmHEAf5Sc8pQP+5+f6n+WNm/lggm8AfY2shtEIu/KxEY
Po64tHIYlX3sacm+Uftvleqftl+UTG9L4kV/jrSYxoGsA/R4yrv2SzOx1JIbG15kJpnG5jnuY+T0
183Iur7J3Nhkn5z4v39X38YAbwrxn151ed9vmr6+SrtK1yTpJIviBjfwIowpbngqfkYRjOUBHI7b
2cadGWi7oYfHPUzgN7NiXACfMe6LZv5cStYx7nSGL3m0zpxR+WJHuuXlcvLRtPPRC1NxsDL93gzS
aa9kmtlzNRWl389W4duVVHtKBVnCKoTY9ZOlfSkLogFZVml+HMdP9FOkO8pm5HECC69DCeQiw77p
9WxmoJ9+ZEKt7vIQPJHovjL83fJQum2bZm22Y7tSjWSrsa9moUSFko1FsRFzL7s1oFSvGQ1kt/F0
rUYFHl2sEbUWmiuwfQcu+pe6HdVVW8W7Rif8cNRvpzm50+V0b3Qli5GFux8HJEMnHdmnZm/s0jk5
sAHyChGonsZojwdMyikr3w0yuZhxkp/saNoUzegPwcwVLPtpF+Z4yyqvTHIbWUdie00WnCr236Fh
bZXSnF1MKjcIESngKum278B0axrx17PVbaQKarjSl49mWJ8aOb+q0UdiCOtWrbIfDBCHg6FtLeZB
XqUoHwsRbacAwu7Q9BeVyTMSJviuafRnu5Z7NyCtqjb0TVjpR2v8d/Lcn17ir+qx311tSyH+5mob
MTwNKhEQp+RYXIYX0ro+1J/IH92Runq0efS4T+q4YhlxKh7Gw++v9cVU9YsbDPMpmD2VKfByA755
cQSSdpESiXCqPGNVHFW3WrO8Vw7SnbUmju/jWXKPd4NP5z488o/sQhzl1T5eBxcak6C/+Gl+bGxe
3SaGJlNeYvCnjTLejeeEPLLLUpLoIpIvKy1bxfJd8zfnsa/39tvXeDf9mJu8l6IITVBZP4cNCa5X
v/9Ef/keLHbbjNZftYc/fqD5ZM4s22oe3tJl7XA/GNSc306o/+n+/f8/Wp3Ob/zP2/dvetLVY/Pl
14pSvviPBp7sQZVUTQASDg2UzHPjj+2G/AHBt4w21FCJCnwrhDA+KNRbNOim893C/X27AWHCpKGw
NY3tB9Lvv6X9fv/cZAZGgaeiW1V5tJna+6dahFymE7l+EeUPc3sxTfdvPpZfNO+/UKw65F2Qk4oX
USVuwnp3lfdBq3eBMfUX/Wz4iHpemG9fZEFyjS32pWsU9oFN7BHxzmNGKnYqz4emTvzewm9sSma5
KYHCFlazlVr5NumjNU7YrxKtO7X7sTcaQhPZ3q3mKDsr5BKkR23oauhdeYv7YQIrHfIhukZU50xq
SzG3q1E2dlPUBi8jJkFNQ0LukaJteTrBW19pi1EywO729Ra0RCOH0ucEFRvaP/2pj+iW6MNCV0+j
+oBa4jUS8GxVloQEtvnsNDiLFHUJPtP18TKZgDJoatmtFah9K9EURHfHD6mqHnmWY5rOxXEMCXTI
inJbFN2M8qsm4j7baHPMk4hdNySPB0nGqIdT6CVPpXM3LTLLfJ7XvW57YdXdWEzUJRmJG1HQqSxt
i6rfd9DwEKuIqymlAZnZ1odzQ654uq8t6zFQ2J13VsLEQPL6NH7sMBuik9KXffMW+sRZmvlyRsz0
UvdtGu7BA2O1No56URteow6nTJs9kwqgqVDMCFRlpe58SuK52xKVc9kETKjbmcCQGH54DSNUSMle
l/Rb2mIsQDNbe23Wb2KtKN2onSK/t+OdgD2GrxrQWJDgxKyX/e2Syq2jdiGbnN8F0pKiG9YRmhoA
Oa6jD3d6qcHLNy7MFlRYN5/TWL+OcvZHfZBvLH04sUfelWLEsJ9Ad+Ypnzvjlsb/yOzixkQTSLuf
3QF8/qQEFoVUvy4bc2/Pxlqamgc8Vri1Omcjae19yZtXRT5tJDF/TTNrEV26TWB4WjodK7oW9vn0
q7pAjN3RYKAHClahaT1wF6zx0N6HAbzwqe2StdT3XDb1iyiTrb1kiWjVQ9/I95Ik37TWAm8OEm+Y
HFc2si9zGlylOXq5SIRH/AHpRiH8Y6VLFlI3x62BzrvILZOVnOdfHCXHjIU1yrfB97ETB3cYx+bs
SRX0ZMO8SRz9c1+1tB8qgumsWu6eZLyRleQg9eC91ZoKySAycVGMXE82Uo1eQA4jqw+Fiqm1vpNV
4Nqhr/pja16EnWr6sWF+kmGiAkkM7C+N00ECx2pSroYKQaGXNwM9ei4kbB00TfHF1MQ45alwPIeP
AiBgFbqNhB42ISfJIz+uAUkgyX4364zqu4B0cxu0PHoU+VCZ8B4iobItbA4Eip4rvWp3RQ8JkuEX
RlS1brdAlRI/jPujCWti1aYVrSG+sWCaUaBP7P2pTyu/7OoS51Wcna1MztIld+YKQXboBkH1ZMzi
UxNoj1ZabznfTgkAdddRJMkTmXQMUlWG3E8USmoak9uhI7gpF33YSiHr5K5Pi+txIL5LVU06Q+o2
NXPB0SNZUnqUHMXBqi0ORIUf2hqvih7qI17aFWfUPoQAmJEohvjHrebumCUSetLoJGfyXdogMgUw
Ojok5BVT+qAngbFq4879f+yd2XLbSLZFvwgVGBPAKwCCpCiRmmXpBSHJEuZ5xtffBXe7ypbdVnTc
136pqAhbBkUAmSfP2Xvt0QoEIzUO0oEemy/VKKnustRr+Ew95repko8+BDeSvUsOj4jB3MhaUsCf
cXOxWOlRUyusLu2VUgtYEjDfphxL8DIaHkveXlWCfhNqzA6zebgTUnUL/McFNdNnXtvQ9pqR1gBu
JGZ8lEX5VKycxymWKNKB7Mw9dgUuR0lfCf2E1r4hXSM1ocEl0bAtsCFsWfqjh6DmCmqf3Ra5FkOL
kO2zHjPxGTLmY8HZzM1Mzdr3iEYdvTRv0fpQdusJgS25ClRx1oPAN9L6VgTzrVUYyxq9TgBJX7a+
0YeKY46T30F1wGkEvJwOaulm/KDTDEb/pYnxN0/WHBP+EI9og/Wog2tecItHPMdW3nhzXj6KodoX
Y+xP5rzp2/Ikz+ZZWs93cpRsBtK+nLKK7vpMvbX62qb5OA37UkoarwwyUnzxRjmVLD9qiBg8bdLr
L70gG6gqoYilEQ+6GffosAPti7oGLgaqMfmInm2EXPL8yQHzNyUiqDlKDdskNllZkQU/1txqnuPk
DZPi2BEzYkwU+mK8Gpv2k0bSR2HAWupyHeYYRFzRxf+lCOjMBYpHVBxz+l+tUO9YlS6tPH9iuWyA
i9rcgDnbDVPlZ1a6a9UI174K2Kk4sFKdM+GlQZ5eRUF/LWp5o0W929tMs8PgrewFHQleAX2h4y2H
z38uYH77DeGwMxWyA3EwfzgSGXlfxp2dFseR5n4438oJp8Hyk1nzN1fyTwcv27R1jWAuHO5wfb9R
vn84+7S4CMCcoBKrwohGv9D3GlIERw6AQibDQHifNHxB1VVeFTQsZ1vej9bIqH6uWKg0aFNJDiVw
6a9QX9g3BbtSX8K+l6Hp6kQnuwZYbMcow2OMqnEKDL5zlfdG5AQXz7axXBtK9pySSqMg298uY+3Q
U2TMAKOVA7D2KjWqv5rvXFYlOOG6rbhlrW0TAnZx8lSUNpGgT6m+ofx8nsyVHE57fTKzixlRvGOa
s7STlTG5wLuPvGzqsQYrtMQiO8GiEYf3Qa/kt/VosH8oaP/zyvDpWHc7Qic2Q8kWp6yeoIRIV/wt
J/pBtH4XhAGKlp0H8nOv+z2ReqyLj5YEu8vEOTMn+mOmNdGmqAraWALEAVbvRaf0mHjNPBCyjOyl
fNd09MNyZTpDS/Gcxmr0ildhK4s6J8M0ulBLtA1aW/v02ejdIYfPhcgYMygO/bHpgND0k0m/8tvn
gRdyBR7QeGW09vN7Ca2ipC1u4MhU1GcNn4K3VEN2FBIQTtbTJxTyKACgqSmCIJ+YVF9W1Au+FVCx
EY1kGAwXHfaHcVEvjNL6oulF5Le5Ufs9Y5M9k90ebzaYNZItLBrher5T2dQ9oqpqz2ok6hEWIjkv
Czc26pswj0EjRW3JbtC3eJHXSAUymfKFsa14ttcp8aCUptvk6p1QZ2pnrJIaZGiBjQapisQQbBRf
EkvgT1O/CpOheDWyDCCHFcV0G9jJuYn6ti61G6J+eEJIWprVG2Mg4TiJbiD9XOemvRVz98Ui6sKh
bpQ3oJ6oBesBSzWGa2t1rWuMNbCQsnMI6VnimXArW3tUNOmLEg21V3eISyJT9odFmhxpKjeK3mxl
OCc2oB2VgQC7kaenNG8sazyYpGWOhLmzzdPjz7pbDRurbU2YrOdnbUReCfWkMMWGROqLlHEEqKpT
CVTbLIQ/ljqZRzH5wgVWJju+wvyU7mdr2ZTtvBFZ4OUVBU0pQs4lvIyDZF8xsXiPTSmA3ya7ep/4
AIWwubWRp5IVpCjiXGCUiDUUNhZctQ2oU3xlVKhpT9ykQgabMjIR7JxQii+NSCcArfTVVDrk7OJI
YHeWkkGFa30c+YW914kWW1HEWTD6Hdt70eQVZNc68TJMs5C1DgvJ3qYNQnpUwhUUwqK7kEKfKJZj
EG4Oi2UXFkxZxvq8sAyq3i6TTlm1Sn0y80wPCb0mV45IJ+LXtAqh0ygDhq7GC6nllJChydbyTdmb
hRuMl8LYmIzyRusIWFwgaNZ3WKAeKlliZiNfCIOJwRTo54xcaAIFQXDoVWLgW0NRiFGl9z8Oi1dR
N+zKGYvgLMxdM1CFmCXeGRObPSlzyidb2y9dK1buH97UbyqiH1ZuNbLnxK7S/kiaPLlaF8RjuROm
nmA8pc0FuJlP2tBrI/vjTvHj9T4cp9UoKjhdsDKU5Ztifh2ma4Jqi/DLqO8+2fh+aXjzmyE90OnF
WSYBGOvO+MNvNrYdGBx5mI6LMoNaiKd2TTK6Ndqw3Ecl6qt0Gg5VBTMDOrNyYa36fZEQVbskEChG
/l2XudS7LltXU6ERTq7191JcnkrZvMko3zj1AExX1yyVySsI1c27+KkApyvBh7sOe9JhjCjqtoCi
D0ZCp1ZTNrMiQ3+Dx1B0mvmAQPSmWrAmoY/utW4fa+phYQxsVPZpTLG9sW2bUnpIVRxqvUT/EnVy
pTzkVbOJs2A/VozvMrg9nZE/L/JsuNkYPtaT3TyoIbpmtdXCT77Vn/st9BU/fKmr8OaHLzUVOgPY
wJqO1vQULS+zdfbnu/bZv/9h45CljBqZhv4xtm6qxHZq7e7PF/ilHvr5FxAfnj8kVKmcquF8NNTL
WAdV0m3kaHb/fJH1W/j4kK9TFkFJqhgEqPz8LU1mO5LGx29hq67avXZjTk1yF0/mJ3dD/fkZX8kH
0AeZ67DV2pSmq4Hpx9sxJ3ExhkulHiljXtnUvNvMDzxpMzix++AUzsNeuMP5y3XsRvfT5jnbzC+8
0e1O2//5F1bXPtvH3/iH1/rbB/3hubBhocLEYxnp/MFDlLKZbvotgnnf3qy0LF/Z8j37eJAd2Yk2
tlcNG/1YvP75Uxi/+xQ/vvIfpmhZ0GaW2vC9f5n26oZ5qm9fms6p1Z3I2z4Y7rnw8q19jPxpxzRq
d0sK3nbase45yxZnQ+vROvNsTzrvd8W2PUXMsZ3Quy+d/ii75Ffv7X15gDd7l/s3f/7oH7hnv75Y
H04yktrGGbN0nkundCq/fav86lbx4Jl6gYdtZ4O84qzcXr6eb/o9YXKTm5xBUj1LjhhR3GCDTOdr
4N7/+VN9U/F+vK0/fKEfoVUA1YfGFHyqaA/0wl12SH5uC3QIbkmmoRM4GI6cbGsd6536RCNt8+fr
//5l/ec9+rDasNRIM9zA6Sgv5cYcx8MipYRIEpTx5+usq8qvv+Y/1/mw6lixpQ3Dks1HampnGF/l
aTeKl1ljLNjRivL/fLXfr3F/X+3jYVIiIlYz6qQ/RtCE5uC6Cq/+fxf4cObTJisTgqCuY2oc1IQ+
oG16f77CJzfGXF/EH153Ka+swpx50UoiE/LUr9QvS299clc++54+LG6tkrXJYCbdcVrvCl4ce0rc
/9/v8eEB68ul7Ys2n48jnv1YAHSdXEzdf77IJ0+X+WFVEkEozTTn2A0mga8OIGzWnTStd02SWpJR
PQ5Y1v98yd/en5UAAntHw6z64ZIWUsygirv+qJNhCQJVi2jybf98jd/enh+u8eGlwVvYSnWkT0cj
0enfX+X5J12Fzy7wYUlc0nwi7KUejjKLNs1o4DOffE3f9sc/vfgfnuMoZugTZDzHnA2c2g3Phl16
wREBRbwbbcITKN5PBrMfjLvfF/q/336x/tY/vDoK/T9QwBF71BcawwWrKn5xBz7bs3K+7AfnEpol
f+AYG2JvHetKcq67zbqrXz7Wl9oZp/bISTZz5+wKN9p+9vF+u5H/WLp8fHLiZpSVgJdOOa0bueS0
20zfF4rrpFvdeyicMwiRh3f5hcNZczcfiNb5ZPVS1+XpTzflw30fpFZEtT1TS3iDR5Tb4qjCsQ+Z
d20fxbm27b1H1Q+cgo6t32yrLaEhn6zQn32Ej0QphKKSDvKpO0qH0iEueHGSr5gGPfPQv027apOf
m1s8yO/ho+ZO2/QUesnbn9+uD/aNX56TjzEa6aDBKil4NBt/8iHQO/Fa1e1T93bYT/s9IcjOciTz
8QHxmZf71da8JLLT6zfIgZ3o6TNtxWp4//Wu/PO6f1QUWBKxzByV+2O90bdiKzJv8hd/OY8PivMa
7gM/da19taOpdz655t0Gvw63qNum/k3srUXCv4uD/43u10fhP4/uL9HPPbe/iu7Xn/o+swfKtiLK
Nf0bzQn9xw8ze8LkGMvDYEKJDtOJ2/xv0b0u/7WO+OEdAC9AKbNq0L7P7OEaMAZfh+0KpCiUZP8V
vODb6/PPG86xhXE9YyM+BdhgC87Cz2sgCrui0CD6n4xs7NJdPNArr606vUhId9IXqGrR8gBAllFe
l21HUoFRmbZOHgVrE3jL5AjGejrdNQBuN1rZXImh3Nq6jCk2dDHJ7LUJdkmPX1Z6LEMC0kI/ssKT
ktjhRRm3lkuPDvibQnR12gqU74xDsxVfNvf0JfXAeoR+CVtEk9CJjd3jUua7UdVoCRrDZTx2FIYI
GPlz+bAMpLmrGnlSMF+huGT3hYQ3LW/kt7hq32lgfrXQUJFcS3BWo043uTWNbjrpj+MsPTSLDuiW
1FY6ixZUHvtYiHk+SMRbAEImA6xg6ZmYpJoGSewoi99B1er8xfa1GRTGS2TiJmq8Gv4wOOVRg1+/
1F7l9IsxX0Yt8kf47+RFNTuR2JEXmF3jjfBkdNdI5SnHco3Qy6s0xstNq3X2sxLr9JniqcmJGh/I
wl15i8ji6g0zvN7pVhojfGQMNd8IjaqFhHKlNmoqfn5XrCzHeaU6Et8L33HJmqthZT72FfTHauVA
qqD4nHZlQ0YrJTJfeZF5Lb6UK0ESXTXcppUqWZbkhXcraRK5QL4JVvqkWDmUPJu6A59P9hJ6ptFK
qyTpkn5VqscXwcqyHO2+PYtC0t+mBtJloWd969Ur/1KKtGCrpP27urIx66ju3XrlZdJrfRnQ/WFN
txHnrlRNnKAJOe+QNnHUvtkre7MHlk8vnke1AcyZrYRO0jWyS0sL0w0Sb/id0hxvbIWoC32le6ZD
a2ytqH7LV/KnsRou6pUGaq5cUL45NpWVFWqtvUV15YcGss53szJFi5UuSp0AaFRZmaP5Sh+t5oLR
XBsjGVxbxcRWNYdx5ZWGI9ZJOyJTt1qN+1Unsg03T2cIYrwz0UAWAfxUAZi/BZUMEFVe2ai0/UgG
tyz9Rc4hHERBHjnjSlMN84ZkgEofwEKssFU6k8JLih4C68pibRJVhtQEDWETfYO1Tiu31R6MJnnP
CMSiR6uoV6VCjxfLTUt0xyI3B5qnCCCm2wy2k0c1jEROs1NSqev7WSJxUF4CeskIUjZtNLnG0D5K
Yf2QletEwCKWK8rBFg45x85EhmBrzsm9UpSXCePhp9leUMJHYXQ+95aFZLdD5wgypOjo8qL+dsvC
rPeEBr4R0P0E39sfQytyJ1t6H5OuRSgSP2roOzI9+zIByN1qrcSgNm/WRcS+4KtgYIsVmPdUWkHR
XW7d4jm4rJXoDNyG6RQNVDpZf1WF/TBkEoiFZrrslsbaW02z45Bx0y72HdJxgHUdIIC6J/RvpbDF
QTxvNRVUXFJMOl3i4jCCn26s6DqUiYMwQ1D/PUOrgyEvZConK8dX3cVldJaawcnSaERPKI9mwAW8
KeBaCh42Z46zAvKWHb8kVlE8ibRDKqMNMS6JfoVS2fqZIJ/U0RlvIJlBc9EytMhlMhuFVl+Wo3Qj
2nbcJqSrnIUFNedUIr1L59HiI4GQm6VO+NXEmhSUY3iVgwhlhN9KV5Dr0PzI5Gc260W7FbkJD87e
yshcr7OwqTxLbSlkGMZt20TgrTAme1vpygxXL7J4tcOMFcacwVnNySZoY82LwYNs7CURYLuMd0Yz
i5fqy37ukpNc1IdcS86Nfso3TDTUrQZEa6PJFQWJvgb7mIYMnixQPCLqwaeIyVglqU4cQU0J4ljd
qtrEUp/waaOct1YdEUVlBf5fKPJMFytWKXlFa4602q4M5uy7aLX09okitlICeDjJCVSsCaYAWgNW
mGXq39rt/5U6CpXJfy51Lp6/vv0OeLn+1PdSR1nliSpIS4XyZGUi/VDqyH+RMIXDEF/ZWm7wR9/9
heZfJo4/1jYE8Yz2f+R5i7/Mlc+E/5TuLWa9/4rTpH/rJ/9U6lg60wcG8CRxmZQAHzoMjLDnVu2U
8BTYOaa7nBFTSyBSNjdHfOgPVSo51dTZ3hLPZyaRHdsiDzEY9IyblTddGmp3tA302yO7jZkdJsKt
nMVOCHQd4H5L0tWqKne6khBFK8/uZZulnPfN3uhx9ar0VeJ1FiepHte9MjyKLH9XknRjqKjscag+
CTvzJCxO9xgO5F2BxyTMx8A1A2Pw+Ngl81b0tzEUvFBRH2GjFV4dw/xuNR2SNIN+f+qC92Fs32Dg
EmsPXWljlaAh8YLdlGkEZLNgNDHeS3NNvqkIBzZNfGepBDBSSIbXi4hvwI7ITzDLF8tIXpFOHXND
Fkxc+RX7hkKgrZRLKdPQVlG/VcshIWRgmzSGjK9PvTSS5FIutMmJ42xVEXWTm1F2boVeDYy0xteg
TRAEKX2MPoWCZYkMcrrl5HYY5ksyupnsyWR8tVpmnhNHe9PmjDZz5aotxsZPMh2qp70cosw+i7rp
UJWR7Jr09x29G/ahgnggLNE9oR0rnbI3JF+iwvTsSF7u2rQENYeoatOjVgTS1GlnlgqJz06nr4DP
UUoNEfTJQobckycWi5clbapQOxe1sq91qwIcEwRXs1SQ/EpQrT+HaP7tLCdsUoqFW/RFdFUKQJdr
kGlsYrWpn2ZYvts21FbOe4SFLjRj3Eq6b5L2DX0Y3rooAqALNemtZgGSMsxfOzui3WDiLiNXJ99k
BRL+KQ+eMhOuI6v2RYzCw+MfndnUYQPExeTJC5VioMBXLUR7pqr1Nfa0yDMBfXnJZPBA9uS6y62u
7RpUh27YL69IBEF5tj1CBEnPnCQtbLcPSnMXJyqH/dm6YK23PWsSb001ANO0lWMxQmjUOh5lnGeT
Fw5x5lch7llFEjdUsE+DmTKlxunltJaZ7bp2IiM2HG+kOWj3Ad40aKMFtQ0R8dDMYDD0A4+xbV4G
MmitWs/0nZQbj3aivuDJ2prSxOxsai+knClhKFmEwI6Ft0T1y2zrMzcf5ZtXtLa4gurV6WekTSgG
NiIDX93UzLmjjW9QWh+mkHdeTS0kWsgWwLFN/qx12qU55o9jUTFusCB2Bm3XY4qY7ydcgfi3wAYh
OyM5yU49RuGzm6blg1X243bMCLOP4cAGQEcdJQrFoakprGsr4uhiFLdLGZwaAUh1sluvL4v3uKtv
VC3aF6p1GCx0Nl1yWJZoq2LviyQEeQmksXJmi6NKRlfR6NdyKQbql5p8k0k5WBoDbSxrexKLVYYM
fHA73LWjfqBMfRed6bcpXczSBGoR5PMZuJRndbWi1EpnOPXUjSA0BnGGsNa3pnAKehf4ZPdQhPVQ
+lNU6YsbSU15oyHMuC+nacQ/qaINFXI7NDsttoynMC2Ns66tsvAyC7PQ2ne1pD8FoVCDi8QAdpfb
aeeREfOg4J/cGJPKoxFQRgQ8Lzu9ZBA7JrSPR567jVFhTVyFqr3eI/XNVQcz8y4Sy6pZALE0xmHh
2GVwZS3LaSr6jn7wsrgA9i4zBpN3PcGKm7yKWZ7STN30YfIeNuZVAz54J42GP8dttSNDPHMRVV/j
RMX1ONzXRrn4vMVbK2juFxv5UC0vl7YeH/qUsW1Vyc/KqvUui5FAsPxaGZXM7bqgXQmkMc9acJpT
WXXnjqx0iXRNpGOjku6LUkUbqhXPZjlwElb7xmVccx6nyYtqjawG08tkqn5RE3SzWKhHdZ33MONw
wVz5Vp7OC9zNebqzwKMVC8jWeCsN1ilUjNgf5uRdaBHpoB22P41I4izeKNhKHMVCbJINNSSzfLzJ
F21CZ83q1+R56BcaEtx5pjPFwRRkOVjzWc+32iArbj6iaVdFfR0nBrkSjXkeVJSbrRy7HK7wxMOF
qyP1qCNU9YxQ8lFMkO9tFvepKC/LvD5KIijcUhYPiTW8JqOItuOUHcZqQqg7dYeAnHGjZiBexafZ
KHOmr+KsCgIYZUnlx+jOqtZ6gjkQbzUZEo2QSoS08A4LLUZkz4m7mJnHG+aNaYNvBfL6Jga78ceF
xVYDJJvkgEkB+wn+4uRDojnTOwt9cQyYOW7MPbH3rM8QBdMBNaQU32RB/lz3yE85D6fdfD6U0n2q
catli9iGvuxYbgY/V8K3xLZ3BjiaUuJPg8p674bka9Uqh1yN/tW6/189uTrC/lRPkmn/a+ds/aHv
5aS6Yj8Ri2DFBFrxDZL+t9sF7CcmE1UYJPaqypqh/L2ctP6ilQayS7dkxvDfmmrfO2fmX5ai2zoc
C3yXKDCV/6ZzBsPzpy4snbPVUYOsRdXXT8E/+HPnzIKIIYQkLydsH/e1Rr2TYahc1WzYT5bct2qx
VXiIjFlyUd/fcx7n+NKTYZXb4jax9Aut7PY5FCXCtuEOmWYO7DDGA36XlTYBhap8FUpFs+9YCG2v
oOvzoqIMJ61F0YbogAop53heyAEwXwwYWAGgLvVJfyVDD6TLJW7GdHUUDvPJNkgvRDrjVdGSsheU
t/Ms3ZdGcadREjmyyposN9QX0nyKYutMMTVvjuhsLRqg3GJ0wkS+rhL1kmXhXh3awos63qygW73J
TUrdULzP4NudCEVXoEM/VBscHYY6nfDlPNcZxYKBascju/QrCvLF62RE/PZkbUK5G10qOcVPyZPk
jC3p836cQH0jMjsovXnSUt5qJTosvekSLmHCiYxw8qvDoRmqh0i2HyUdd4CVaVdp2W5Q4NynMWl5
TbLcdQ1C9V6pjkowsleU76qsYIiMr236YOiI8vMqzPdKPt+nbX+QyuGds/7sydKM0I7BIKjIYXAk
Ke0cDXJ33RLApUXClWbafYGKj9LAbHhSScEhM6XGNNuhg43K0e1sFH9lgnY1p9GzQWq4EGBW0ZmT
zVfMF2eFBhq0C5AjtRN8B0tlxdJ2fd+cgoxQVo1WH/GQTV2RziP6fNsBc0sdI8v3Wte4bWtcdBOy
S61UVZcGoa/LwUuKNSjNJsnRewq/YnoOBe4Z/k23zGyQAZyOxwjIY6RJzzIQehdRG2trigUeuCsB
vdYFUF3sHnLb+/DXxHk2arsqKZobXE76Ue1yYI1qCAPDtBNvafr1BL64rch0tiHTQ4itbGnIdoiv
a3HswaWYkr5HbHoPRmYn9+r9OICYRpsse0i2FByXanJeFSXlHXFdm8igzRoMieQUU6K7mi4F21lR
5GM1aepVjK5yF6cDHWZkgWN4lqe0pqdafcZ8aYAFneOTqamja5N9OVvg+zvA9ApNGNcYi5e5RcI4
xF/KUCIYtEs3YcT9TLI5O8HtoxOSfzKY/TD8NWQ4eTDLhEIcy5rA8uHIWWnTkGaSrZyy/C7VvxqG
96ld/TeXQAkm6NyzRso48H5ehuYqnFpy8/RT2r706eVc3Rb2v6a//9ujVpHNn/eoqmyff92m1p/7
vk3R9dBkKNNr7KKpk0f7U9eDxHXtX9sXGut/dimIkzKmXyTZOo7JlZz093zHJN9MY0tjJqQzm6FL
8Z0vdfmvZgZoqv9ow9aUnye47FKML/FM0JUBF78+IT8/HglGKNVc1OiUy6BYLyK1M54mRY6svdEU
RXhZUimfLX0tnkSkM5ywpQL+8DhJ42OzmO29HenljW3HxoK+th9LXyvM7qHVejw8K6B9I6IE+m0s
3U8qi88ULjouGOD76iQuLdJLccqc+oHQ+Wx+RiD3rEaBzpt2LVqLYYKQt2pGKoQ6c25XUrGZhgDZ
cHOGB55ogBb7VNgMrRvK83Na41eqRyYeIFVaTO+FDtnEQowiLD8rBlTYhUmbuUeNHDag6kkprHJx
rQ8ovmOheKkGwyNAhQps3rMH9qWivqk09YmwC80pmaX4RZEgZ1eXZWvFdu5CHILjoRvXiTDPB6sF
iUhcuCiy87wpD32UclwMVMvTW5N04CaEWzxWFkar9Hqoq7taX6oLrRkQuxcU682Kj27yGd+ojmuy
yYA7dxrYoakIs/OC4cpiVl+IAxqQu8rIp+XmbWmbGb7v2hdt+x0ynK0MwlLhlFWZZsJBxnZ1HU0y
TTSfEhYqc8J3QJN0dMPBMnZxwf/pw9Qj0i7viyj9Sjl9ZemRZ1XZq5JGt6LsmGB0iX4eGMEeMvJV
XNEgGgysH9DJcR0SRBsiY2EPwQ8pxK3ekBwOseCrKIvDApCpmi2EaLLFyaUwTYduQeKU4XQoUGl3
8giauiy2WYxOXtX7xe2UgRFOcZ+IFv6IwP7EiWuDR+OmwDTkSiNVQCRbvl6bw7FfmznIcyBONvq+
S0V+DzhpoqndY69jLzO06FgsPWWNJNOXmvu7Zk5egmGENBA1vWPosm821oNQrS8mQ0mVgiTL0flM
68eQh2tptvw6WE5ZGnOmV307uORhLY/60J9ndnq5zOIpFvQPCsy8fkMei6NzzN3L1XzoBI+dYiTn
pUpmzZoaE0nWg2TSSesMkhKUZApcqYn9dEyPRpWfNLs56La4HFp6Gd3AkC40dZ9QgicdM2BkqHd5
R1CnKM2zahCnOR419n9KExs4zlBTPAbtLXzrFyFNF43o39Qgv207c6+Y4jwZUmUvR6bAQmgzTCm5
D2Szfc2UkVdsIZjOmjIwx4U48csLpxujL3UDZ16R85MaKJcAIfzaTl8kKXCt0pYdsjoBd2v5ZdeX
Fkczys68Kx4iAQSAbVNFbVRkBynrK3zRWE0DWQiXfJNnku6YGs7ZldIGXzKpnF2ijUguBBBjW8t5
VnQXvYJJsmf6KvJnqsmzxeCio3qVMKPNAnsfVd2pzeStruk7rcpSPw6yi57ankGiVfhzWni6uqZk
K4xZjAhjcacdYqUprgAlBu3ZNCgr+qgY8PNhMbbtGhZVYj30OfEWYZljra7hAPl1JiMNb/n0YVGS
uTXp6uU062cQD5RjxIvlcs+NU2FSmRgDUEl6LdPDUhfhdaMo2SGBLbrt+Ao2YyZlO8WUZqcCgUY+
ChNW2RlEF+06ibEWkzEuPVey4ksJMNhvu9P/tmkVZcQftum34mv5Ghe/QUOvP/h9n+Y4STIdPij4
CLzq65zh7+Okvg4uLEL1CBuGnIza4h8hhkxNxQGP8hFAwioh+36ctP5i+9ZkmNLMO/6bTdoQ/Cs/
CnooEw0NsANHRk60pv0RCGSSk2AR2imdFClz+45VU9aXt2CMQic1yN/tNVDOSkIiTphnWzmummu7
yaUr1RwkpmMmQ9XrkA6nRa7BrHl9qzQPNDTN+dWQWDcFA2VCUECyJ/WKaVethXijkf+jdtialrwG
JINzn7qYwW4l2X6jqF+KKpVfwxr8e61ipiwjkPBjD5x+WDHxXcnf1UzQ8RhomycyqMDJr2D5JRqM
s7Ewz5Kk0cgWavZGxJm1hUffq/0LGTm8ESuqngMJgZ7rYQOK/bzi7HPT2LBADEdrRd3nTRJuyC8j
zWUme2FekfhNCu2mtAgynu10Y7FRO+qK0F/Ah6kQdi+TtmC9nDusSRbIfUV5iBk9QqZPj3EdRh4n
+qtk6QpQCsrFLFO6WCyNIwOaljgkYXFE17uMKKoV92+u4P/OHOOzwsSLbayxALRY5U37LSugWcUX
1hogMFTwALkt0klf4wWM0AbeCEygi/Wzeo0gSIdyulpYtrcFZoSriaQCjL3Rzl7DCwIWGpK8liX2
2QII0XC1IiMKZE08aNbsg+VbDMI0AWmgq044QhJFjNntogpuMEdW2yFZg9N4sIt90QwDixmxBYGQ
rItYH+FtdXZwAWW5tYoLpe6DK6WPHrPIMJyoEM8hdFY4uXRQ6Z48pkoXboKueqfMyN1OCs+zIMod
K5lPGR15N5rz92gxPOBJ3Qnax+zmEEuIN7NS1y4wLkmD2DdDbZ4RAaW4jNZvomTVDeb5Vo/4j93Q
Ep4MJMr6vOY34lAe+QCd2gPLboZR1S8Go5LOZs0krIJs1kvDaGm1NrSyZYzkhuaqYCS8Ksm686a2
mUvxoJ0IKBV+UxtAv3UWcamE9tGMqoMsot9qUfa0nk47mZP2TKjG2TjlmkPet+IbaIyOxLD4Um5/
VaX2XCT5Vdn3d4GkXbSVib1RlarjjCFgr65BjGG57CSDUz4pWBkm3iAg+eitk6ZDnIFJ083zOSrt
jZlE23rCnUe7md/5ZM0FZlTQKIN0MJT4PEcGBQ3ZCC4Ki/lDLirN76PwJpqncF9H2b5JUMDW3CQr
ohYYyceSEhgQDDGew37kDRTxaRrKVZnEZix1Q+6imcHGme3tztggd3jOG0JhYQiSkfAuzJilJfep
6v0qrV154DAcqrR1OCFHVbI3B/1gj5M7AvJ2og5aFv3cOyuTTxRtd2KQLR5SuxSMT8laD6zlnYy6
a2Pp92ZveVqeb0Q3aa4cTQdMmi5e4+dIaFvRYKoMw4ogduuyhWRglepXO+UdzjPtrbPna12aMIPU
1cVcL76U6m7FPQbzRvIJbDx4doisZOgSQf5KLO3tuD6PSprsIQVcLuV0yi166Am6x6kkWq10WUgp
LAxk0MV0nOvZVSEfFkHvSRYFyCJtKRZ3JmixvEp24v/YO5PluJE0675L71HmmIFFbwIxB+fgqA2M
pCjMcMAx4+n7QPlnlsTMTln2v61VWSVFhSICgLt/995zGxql7IUYaCTvjkcsWav2GmUkWQyTo5LX
JUaeTSnkDqswfLYuujFaujH6aD8Kb11I7QLtcktVGbNlg3q9Mai5RQzLCEgIrplGBmGbf6j8Q5I4
H1tioZ7YT2iqyVA+26hXzWyusfpBFlbk0Yxr9NJzg6eDYwuD9/HOGv37PKWS3c/pxpCD2BUWvJLQ
5woMtRVD0K3nF98m6Ew84baIu0ETe2vHo7UlauIDY6Y9hJNnobdssbyz41TPXtzcRT2Q4+JrCaK4
FgL2KW4V10y2iUPmJZwWDvomFlMQmfEt2edL2Zt3bDYxL7UrQ4mVGNjpC7HX/H7vNRpFYfk5teVF
a+sPHG1ISfrNyrGrJXB+akS35Va8anxvq5vNEcshL1hvYI8QciybtazhrHCAfR86+cxfhZodMoNs
rIo8ZlxTGj8EUzm8NmXDrEw75a08zJoLuBbLVq8yMussEnEVUowYT8y8HHdntP0T3IkvLY1CU+Ue
MCJsqphmH9mqPRnTA747jma2D+mxfx6UeJIqvaPcAHFmZLfZ8dn5G5y2e7e1uTrdHZS1W+r2ThV0
xl7rzjRd7r0xvA7N+QB44tiH+mUsIXSUXbIt8ummChedA0rD4N2myr8w9fGlwrA7KUaHhu89hMq5
bVRzXTb2Hf04YuXpzbljUNRXqItq5txm5xc0qh0ZqInVgOyulgfVLJ+nrD0Zyt5VFRl9hqipiXV+
WDY9JepL+aCq6Ygt8aQZVnythYwH6S3Pzw09zsFstEeFfj0PAyPLjIUn/YqI+ZC2BQIJiMmV77Yv
tA1wYgOkIrHQJfpXp2As19bPmYoPwtCved7Sl70wZIbmZM8Lni53s2AW+ktsN9XWN7P7QsH4r8ds
l5n6TZpBUsl8RpqgmLZ40vZh5gSDoRWbBExQD33ZjYYo0CdjneUQLePyBi12l4bjcSynr5UGrbdJ
X1sMWRXrH3dAg3Tdu5uuizYq1soAxRh1pwuKnEWCiqt9r3kUYAABSMQOK+I2EeOGcSPPnwbxLhrn
7YjXa2oJebZUDqBiAumpgrLhfJZkgRYP2rGkYrASyFHAQZQuD7nWXs6MSBpVvXfeAh9t/CDMx8ve
YtZaCJa/H7a0/2+w8yO5+s9TPptQquEgjy88u8+WbwomlOqSUrsWBfp8tpLZnYbO9fcvwj73T9vQ
JSapCxM4k2l8mlZiLREO7h7tegS7g8bdvYwUBJrUWv4qevxXG94fX2n5l/yQvJChnPQ55JUM7yq2
OC65+maeD9J5TLsviXT+Wbbo+/7a5G4igcxhEN3o55czkOy9MJfRTa99abtTHb2X+fvff3Z/9Y7Y
LbNZ5mVM67O5KIRDIPypim96iyDRrqNIN8cFWkS7BFnEaK/+/uX+4nqgsZdDC4NlpnrOIk798AEu
Ng9jEm1yk2BEJcS/6ii8zn7xnj6lfpaP7acX+ZSPaUKttZ2QF0mZprXqYvEt//+9jeVt/vg22pkR
CKT8G2wtFKgGmbynr/IXL8IE9vNl/dPb+PTtV9mUVX3RJDejRtGoHfjJjQUPzHdfbIZ7zbWBKfmf
vy3sVcLAC05I2vw0k88SD+B/qic3bn1bC2BM+cENv/3z1wAi41AWzXVA/cvPH11om5rj9Sq9gd2x
KRzqwWQw5A9//yJ/9dGZcB+ZHuumC3Tv5xeRQ+y6STKmfD8vpXMRc1JMeRj44TntThZ+lyG8/ftX
XK6pf5v0vO/X3I+v+OnLgkILtVqfsJGhYvXNE92Ov3gYfEqa2UjDtu5aUMcZiDvcr58ePo204iwe
9eImvUBcPbB4XoK12di38Z0dlBvarX+ZYlo+p797V59eEoNgMbZVn970DphaZo8GCQdD7v8vnx2D
fsHKScvUp2/LmSkUb2Hx3oS1Hxg4hrz2F5/d8ul/fh/YO7nafEQnlLSfr4eqMRJMlFp643L0pTiE
3eaXBKd8lKa/eC9/9Yn9+EqfHnCciKVipJne6PZH7N3a4bmef/F4++uXsB2sBdReUJr185tJ9Kz3
rDnKbsryGtMyhDFjZXTOLxbVv7qFuNj+eJVPXz2MtbidIl4lyd5zDRy3tlEWXLEuyNobLdvl9i++
oz+9LUNYLhZ3gYiE4eFzosfwQ7cqXDqh235Xqy+Ds6nnu394oX16CWZpPz626aXhA43r/GaYy5Wu
ReuJdqX/y0sslmDBhoc5288vkY5joeWctG6a/F2bD4gEv3iBP13KvAfUN8RZm8EbdN6fX4BHJ2Sn
koQx+7yiw9ebHhIKJUr/4/sb+c9Udklq/t1UVr1/fP0L6ZTf+mMkSzYOZqxtUwdACtflR3+MZPV/
GRaKKkCc78E57prfHT602LATxinuA5nzv/uCfh/JYhhHb3eRO000FMLW/2Qsi8ucS+DfT7vv2qnr
sGP0kO4NVL5P16CpGcxC6iy71oXVKrrXk4oIV19YGibQzMVQ4qDmBV2d1re6m607ul9AMe/JhIow
3ZWLU3gZQbXeI1OdalUl/b1uWuokRsiUz+FiHnRaulonNq5B8d1ZuMDz0qLdV4YNCR7/ocym61HL
e/YrxmvIhRzYKjtVeBZLZ4RojotxxM1YLbbGzhsfcXh/dSr3rjIlf4E5V/totPHAeOSnGv+2xSXZ
S2VsirRghqRjoawI/j2EuCpJJSHOiYneilG/9nBeDkUK7XwxY0aLLXNU3r53KmJi2bAPHePFWiyc
g5w6MjRYiCQR8Q2biXRfmQUtKMr1EKFCXJp1/Nxldbsu7SrbRRnax7yoIOaih3TfpZFhUUkwmXAE
rr+LJ8aio4yLohLHgsTLorI0i95C13J05y4ajLOoMXLRZZpFoUkWrSbSUW0m5Jt60XHiRdEpF23H
qUGoq0Xvib9LP/2iAhnIQeGiC5WLQkSRLZm5RTXCWYOAlC5aUrioSl6lFiykPzUR/4ayTo6Wqzn6
wc+YLG+NIaN32c30N702rXUHH8itKaOL+w50rIfvH59OTPPrCsjWVtjFrUUD6hCMk6QSWWUfhAye
6ia7kAL3eeEOuxxzaeDa9qXytcuGCpZVXCRru8rvxrg8VoZ6MbTsIh2o0qmN4t6M4mHTxt67hYfT
iNwrokfYZePWzbDkT4mxMc3epM3XjtP5UrdFuRLE+7IqxUpp9SFT7fjQFQtQNmTqMDqGtynm6H0e
eeyGhHU4bDMhlYu+aftlzLjXfmfyTIs6iPxgNEBkmfG46fR27RbTQzS2IyDk0mZOBnd0mhjdE4u8
ap2hWHvCxp8LBw7fZYS/mj9JXfAqZtTicoAKMrGEMmyfEPNs9bspTki/j+LKtQcQ+goz+1TRBiNE
e3KSsQ+YwhowmBptJQrjizMCBQ4neR7ckSHGNHAuLxt3VZMO8rEwr1CAwMu47kcRRl9ziX2Auyto
U2L8KRubDlQx1wDDcIHdrGsmmGI6U18GFv7W49IXuhWtS6Faarbtlq2cxkAYa3XqyuxYNq28/8/6
8b30deEd/M36QUEI+7nfatIOX//7v+hWN21cn/9ePnDeUL3HsX55NCPe8aMflg+Mo6A2Des34e6P
5cPS+SWXcLVts4ld4tO/C3r8BOcNxSdQOoT3PY/9yWnzd86bhbj+8+IBht1zHZ+EJX/Xb01kPxxt
a1ljR47T+KbumHzv62zArmy71zrxVy73SAs1sjcVsoVaddUsfAI0RJ25bcZWbT1R6O15ADjsfxu8
Zk/o1AxfqQJK4aENZa6dUCub8KgjruibiKKF6MbKyoTgaG3FSylrZ4zsaWd7JnSZN35I6JaECWTg
fnIIN/BU8xnoq6lzCb+qpI73hOXYC+Wpra3MkYqtfR0pPyVJ17AG1EOuriOiCYwayCi7m8gjnrDK
PIfwSdtpHzaGut1/Lv3vV7HNxfK/X/r3WKNpGPzzxb/82h97JwNEgMPDZvH9YXBi+/rHxW/+yyGG
Z9rLqYPr+3ctW/8XwyJObTrdrybfLkfv3zdO3EkcGYjacRtRw0fF7D+49F3x52sfJZ3CQMPnf5ZE
4M97a43lx6nrprgp9cqyLpvv2t7UJQKhj4sH1W8c+95b5W71XvdoYpIgDLuYM25PImDu29QP8abq
IvTPYltXVK7QTJOvO8u9Eq1eB1pK557EqUHo1YdEHk3x1qicDgEgusK8gg+XY1eQhvK6oSlGc+hR
sf3hq1VpchPLBuQv5jGSeqfRWpCspPg0lk4lpL2WsUnbEsaeNXHpHOuR+qpJZHPVqbceYyv44WnH
CfxNG/VtPLSoJmO0d90WF1IGbB3wMr3xwwv5sYccB0yQZvrZtNvnyLONHQZqj2J207mOOOJuGFy1
K0gHagMZ8dUlj75rIJWuPBrSScReSwsrVjwbZ6G79Sruklv082Mh7A+rJcmhEERIrljUh4E814LR
M04A0/nT/r4Q6rkzk4McO2eNMvssG+fZT9/MQa6FZb43vv+ujOZazcmTLcf3zPKKNYWn8xpj+43G
P5aaj2FfxCSg0pYG11nrIlw3yZkg8FVXaVezWYcBDmdkL4OsMWmP4pACAV3ZOpayQVg3i056qhfO
gK1h3I6IMaWxE+0AGDiAQ3MMzp3A2TY+YPU7UqdDD6Db0qLTA6D3i+sKPjBs75qu3Ko0dlM77Lw+
lWuVgKmvptzbZW6s1qko+o3Th+PG7oyFpM5P3cnYq2h4DD13myfdjSO6a0GoJ9A0v94pq2TbQitD
lGUHw44A+ba0y1nDPJF3UodCozJQGZiPudHCYJD9iUzpFbq7wZ9Ub6mm7pzevhkicYhSdwwcI91Z
qcS9hcFJpyQhm52HlpC4KKLHRrYfTAu1IJvZytkdFqa+phLQ6+bnMq2rdWRUR47tT1rHLDJvhgfN
R4LgV/PNnGv1xuyz86RBw2Voj09Sl9+KRiuCRFaX1uRfZxa+hXYawVzLgchZP2xGb5TXpNsi7hXl
oeAkCJKZvx9aEPmZqcbXNiTGJ5oqXJuKzZOZpU8dKOM8eYC2m3MFJnQf6jVdFn0XeC27Z3Y3wJAG
Ve1H3QgDU4rTBH/VKrV5XaSkw1mGbimhBuBe1jPpw+IqKY2SjmZoW4lpqgB76CLTvmZjLZZr7WyZ
R236loma3olI3Um32ZjTmK5j1FfPko/Ccb8x6EhRCKxvahYvfuNfiCG/qqbpbFABv7IbLd44E3jA
qajv4q55zemTIup2oPHuaHU+qHydvj6uvXTlNRaJ/umb0agvkdadBtnewvq7JN+Dvaxs13M2Xpo+
BDJdkMxiL8jxrcvEqvPjnq6l9lulkRvOx8FY56P7SgXZF5dH9KqRcIkNOdZUpHnOsSUwDxpC84I8
tZ556nL+mBSk2dx5b8G+gHsGLMwD+dRoasSM03XbeO6PbWj2GBSjOyceX9PEjlaVlVnbtm5ysqj4
5hsLtB/T3joGLN/G47m1QWeMabnJx3hY1zCnN2VpK246yS3hOZc5Z56NHMMrmZsLuzQECaRFZ7bj
WFD8M7WSe3MkwemUPmm8Kb8Lq+oqon99G7Ve/qwGTKrhQFElJugFXMyNbadPGNLxFfVDtuWxagWR
Eb+NJfuBziKtNpRHHuh3kyX7fc3kc80CcFtZ4DqSRdhkGLCLRcJOpDEtqBDM/L3yGIeOFWR1fkHJ
5W1iWyWHM1gikLLxNyl9g0WW3+37s+1QAzeX3Vsj8er6lcITURpx4KS1FrAT+uZbOutFrJKd5xPK
nuSbY3Jv1zmnUavwNIRn2rxo9CyvBPyFlZL1s+4VYdB6E5r6NDq4g3BHxR5ZEckz265KQc5WEGpo
5VvnJ0+y4kIaQkyIbUT8k698xXKngsEECd6OItoyueAz7RPnYJrD3o8sqspjK+OmoZi8s/oHROrb
gTWRo4cn+WCalN2hHeE/mLjcvGWckPLfvLxPLiptHuAspJe0nUt4wC7mXjEMKy1zHmwq1xXSqC3t
mzSqPkadv66x0md2eclqUNrSuVdekFCoOULNl6z/EIzdckm1H9q8wnQwGd0mYzv3TE4nPzRz/YA7
CpRzaT5pk3XdJu3Xoc7xxaYPLPbilDjsCFn/D00SXbtJfe/P2d7UkLld0iCUbchuNVlMCGxiiSV2
Z9lbBE/UEmR33feEcA8tHmT+ahLk20l6d3pY1Bt7oUyXFMxsqorTYZ934UGo6dUBAMb32RvUDnr3
YwmExQu1YxJFrwrme5SBURnTaidrye+71Q0xU32FezXa0DryXqUjSPc2ebEERJW0dm5E5zxKy9mF
VT7u58j8lgo2tGavY/UxoLx7I4hzx82B7FA8uhKIlRvknHalJxMc3Fl/cZr+yrfwC88VX6zSeGrH
E1Ci1J0GkozpqyiNy4zeByxgIRWdfUV/Ys5H3Soq6Syc86adBp3I9mlERh7oJetda+BhNpZQJS2A
G9qcUOSxTNdepLa9bopAFn2/llgyZMbcddKcJ5of9VUUhXZQ1Np9rIYH5dPpUyZ+IIf8AiOgjX0b
GSBqJAwYKz63jltvwrw9dBHUnEL4D1bZ4XfmnGw27ZKR0kDxONxPZt9ux0jL10ZWHjR2TtyQqUCs
b97ITN2MQJkjPi2WkHRfO8CU5zr5GDh6aJXzzRHavWZ6LAKF2weZn31zqQxcG7nx3k/q5LOSE8K2
3xvYQLXXqXUZ6UeireXan1FQRyd7ioqiCaiOMQKvA+5NA20UvjEyuGBjAJ/F0uRK79JjZSs6Nbs0
vaKk8BDWip952Uuk2bgDhvRex3W/qjrtziV2hw1NHix/eBoXupQTz9WqxWexqeniDCa7wxSQ1bwd
bHwYAxVJammdvFqSZJhoLXbx1nDffXMMuDdcM+Mmysyt6LvnqufWjZV+m0clvMLJvDSdpN2UNimG
LqvOTsJ3ZLs6ubx45DmtysvRUiWxVTLrXvtOgWYT6En7VI8Y/opOPHBuO45Tfm9YNEYNFO9IV7yB
RuXiH/A4+vgSqYDtLqpGbUsxeisxNS2PQ4isrZN++OyNSXrRHjWWH3OhjpR64l1T88EwyuckZSjl
pg9VX2VBwy7PzXj0xTVXZuxD3ZF0lqzJyu7EqL45MVs6V44vZsGer0/1IMnTZ0DrB7jp6zgrX0Mv
e0vbjhBVfSwSWP0R1PWwp7oIXs4e4wxjK30z2vRehLU8jw3d2JZ/8G1tXSNXQdIPJoSl1WTGmxja
F+yqCzXKQ5dUi5GrN45Nqk8UM7tGdpuXs/M8ycQBdavZPf/BRlqjt9oJOhvj4H/OoL9NUjiU/e9n
0Ev5l35qfuf3Ayht8lhEmDfbBiY2pg3/PoAymHE4fArsQQ5H1AUE8/vwHtO0TkCXuQyiCyld5vq/
n0HdpYyO3lNgL0z2BZmof3AGNX2mPz/PXzyiTw7ebIvYKEr88vMf5i/NjITYsdW+isxyvqiRCyoW
Ihhg1lobo5586BzC/F9pBnChtdeGrsQQXMAl6JL0uwFS5JfecmbF7hbxGhGdBZNmYWfrGN9uIuq6
sRHPg50zAm8xBj4NHZSK9SwiblkeFppfHRpL6dUKIpcz3napS3I/1mS0dW2lBd1YPpEgpUAJLEe7
RJeapm9XdS/6FVQJ6pAirdmGHV11rCaqBCUmCxjUk7gj58i2Q+cel2EFB6U4lXV4oQ/j4wTcibYU
YjssoruuOhB1wf0WMblMnDQJMrcFLDK6TCw9nE5dOMPcHucnKjFu2PN2IEjMFesZpRoj/irUc6o8
Cu+4bDGMZaybdP1ziwuXspb8VCTCxgM53TSynLaD01MB3PmUi/Z1G5juPK4zCGhrGmfnzWRj2vKE
saEDfFqnHcf4weu/atZ4AqxAxBc/dVCE+tdxrCS3MnU1ot7TGZIHhZ5fpJ5RBYlSj50NwCSthwuq
brqgT5jVAto7a8R8arcDR5qFQbHs0kMVVge0/mg1WvIqNeRdXQ8Bxyw2MKAu2DTTWQLOkwWRTrI3
i7PMStHZ0Zo41PNsnccWye0qOlphsVEVezz2jOYKn3lKdktmW29yQcyY7WWhEQzKckU/NX3tehQ9
dQTJcLP4wA0myqc0J7phpEZ9lk/3Rt0e+44Tbi3UU0SP4GqGDj1N+rmNxo0zovWko77PyvQuKvuL
xDbXGUVOK8eZE0AaPKgr5iR7lYVxIEb/hnk6h6Xa/JC53ux1Io2kwuWVrZftLjaJLZnZA3aBx4LT
qKzqay2uMFX6GZ1yOfM9L09B6xSPg+tRRgaeQZgvoqLQxkVw6Yf8PGb2AUgIB+PFeRt7WGgmcNBc
6EZMawMuV9OfxT4ehqeSmSwUxPZpDIdH3WrurQbpg1VnV8b+ddrYnEYxftstLAz8nmB9hqBzs4qD
C1ttD9SE2XbnMGWVk6ne4e6MDlFjRfu6re86Z37BN/yltjmSjAknLD9NlmYzSw8s0T30Ca5aHfjg
WjrxUdPkUbj+a0nabyWiGvy/1M+4dbaJsu6rRuzYS98MIlmqHc2zBTFq7cWCQPWoXUWxdZm4lRaY
Gd1cSU6KwC13pT69FtE87rMp2nc9Ow1qIPyg1EgioXdJKlbKl7QkvjfBhuEum72TLyYIRDrWQzGr
i8TJtsUABiQ0CEwzQYOjpg3bvJmudd3CJRwDHlH1Fdm+Bxyx8ZEUPVtBffzIEv8upYtt5ZhVyIQD
1GUzT9+GnigemMRyHUaGFeALIX3YLB31Ll1NYd6dqWLm0kE1XWU6WyZZJSykk7QDS8b7LBpfnbgF
DuuU5WZ0fPJV9aWuWR8ZXm7y4kDUgPhzQYGXmcHMKHAzkUz20yxfyu8cmrg+uAuZpmK2IxZWjTdq
7PM7cpejYR2ilkV/Xtg2upFe6sBuJmZ98OJOrk/US4WnIk8PcVufw7j+1i60HFhPFxP4HIdiuGrh
6ZgT+p1YGDv+QttRC3cHuN3GXUg8KUiecmHzuAOUnpw4uL1we4aF4JP0w6O/MH06qXFPL5yfMsle
xoX8M4IAyhYWUOGZEhKBAZ4JUJAxfAwKbpC7EITKyTrFTvEyTnyiuo/fd2iNTdjLRw4ey4YZGIKF
PyUCsDNlLnZaE1NxI999w/oyK/Gt17kYiNvdV4ovjFJkc23nbcMjoqy3deHeMHegCS/UmX4M2irP
+yu883e8VaI28fVcWFhFrKUfuteM1QwViymuueZkeuhkhqGf/o+DNdhnowqfY5dSeZUnH8XAUSy0
BpKJGDT2TdY/UHI0B3gU6XGi3Bxj9n92Sb/tkpif/+0uqf1QH38xql/m7r/vlEAAEzzDY4Rnatko
/bBTMlCj3MXj4jiOLdj3/Hun5PyL4TnUAJfV/weVyrT/BRDFx5O3hMO/D/j/wTYJnPDnbRIEHOoB
Ub4gCGA++GRPKqrc4njrOVeFOffbSoQWJ0z3xUWalW73ZLTOQzbfhlO/A5uzMWrvtmujhzCfs4CE
jhkwn1rX5XRJ+DTS3s0heyjoG1zrpkp3lNS+OS2JMUgNh6pI9yJi/srSsrV1FQZxj/wMj+OLVvbV
m96WCRXq+bDhMRdChksBQClnH0bqWA5YaVMzfirIF5ST/zKTQcgrj4FLUr9OaXbrx+arcvTnsZ+M
wGnHZaIngynOyHPW6anrGJDa9DA8TcL7ksAkOpUVHVf6YKNfVelD1uVfxOTOB6sgSAJslizYvJ9r
40vfFFc+Z7rJcc++2mWz2NS+RPlOh4cuTl68RNsPQj41SouOrlGtfUZDRdlf6Sk4cKoGxim5WlLP
9UTDHTLcV0muld0jsDBnuPKXgC/D2YMlt6TzqGUlwGKcl4Z3cjpt9lIbMQ+/Kt01zbwYNvo1bFSK
02yFVJ4aJAiscCXtpsGZ4S/dV+BkQ+3CKeSwly2H7zDpNoNMyflQ+SVwiVhw/oI+z/e1zL8q/O3r
1mgQ4JXYKWeOIb52N5Pn70XK8iQ4xu3ikqROQpgtL3m9nICJHc1M6tWbmKdk3QisoZz1Jc780Qn9
hTZ3QYaA9i7/qqistZNCCoZtRkNxPNNkC0OZEW1rkfvJhQ3paYkOR2R5AmdgdJNnFjqk29ASlbRM
uV0OqVMCJLUtIHW17ivHvAPQvXbbNUy1BT4R0o23g0vZqKvj6a3N98mgK8yq07tSZ88c881plflg
A72qi1xtcAN6F7WmH3JPXjIh+gJL5zFuGG3UHsCQYQrXs+OwXMI3DibFxiRL20M/tXLd19lTlyDh
zviGgiQubumlNoOsH/dotnJLbzNayQTLOpPAmGltI5H/je/jJKvq2lIxAAGxoyWRABL7qaonOzjl
5jmlnpku6lOrD5dy5mRCTPEIke6C7ryDUXTzKqeZ2eu9t7SJDn4cQVU0cmCHzT0z2jMjjgec8wdR
ymOnrA/pOIdMRNcEtL+UTf7gZDUf6jxcWCYI4E5edj1QG+I3t3nR78YwubAWnWge9pUvD/riUZws
JOD4GFmC3uLJPFX5cBoacSNiK992lECHUfs8MPNj3jizrWqvq47GRHoaj8o37uykOmVJv6d9iXlg
XnSHtDeuLaEuo8olV9WTuZyIpEfGuZHNE0viKRzTyy6m7C6a7koqalEq4qcsZxo3JE9R5u7sSO4L
J/EOMPZ2zJ9jro720oSvG3DexFcTHThl3hZaD7dA1EHcqUPvi2cxDnngiTxf+0Z3R8nzRaeA2Mwu
6SFMgM/I4Xu3Y62e2rUxzhzOvPLSzJ0vs+fvBg13jc82LelfSpA3jS2+zU3UQbnk7EG+PeEQzNFu
Rvi8M5B2g9wbcmPrSZtn32iicVjFvFFOfvKj7gJ4wGFsO+psdP8Ux/G11eenMJqGFTmbyyEE+pj4
5aI1eitN5XRv+rta+leqhK3oUTpb1EKnJVl/TPTuYtStJzPTABylZyaLzhoeyVulj9yNEXLRcNIj
7WkU/bWp61cigw/nuMAcp+HV0DgGJVVEzg4Jqm75LpRub8uO3k6kvC8VKPXJ5/jbJmqfyXSXldWw
bhz9kfDcsQYdHMe41UANM+bWA8O6p7NnkyTzW5q75xlzzEVp19VBRBTrFOWltqCqwpo69Nn+olfO
zjXClWXCaUhbx9oMajT20Ni5l6OPjB0is+NFYXKnC0gqxlbXafIUlA67ta2gHMUVjBH29k4k9k3R
PTdDcq456k9ddB+qZo8qxclv8B7p193xnu+jKX9q65jOBusmW+qhBVpL6kw8VsadbcnroY3uEzE3
a8/p91pO9ndGeGyc2znX0RJ9Phr9WmN2x2Rtuu0745xhINoIDGE0XS4mMH24rUznsqH0x9lgSTLy
TTfUyaPNVIyHv+OejJKYa8FUfxvXDrh1cryJ13N3MqMgsL1yFG8Jw9SeDePOjUqfblvbI2val5tZ
S+qV0TObjHrm7H1XvPUohJZTpltWGOK8kGXWFeXQI7FiW7b7MAZZOOYwnmTv90ca6gowGdO3UjXE
sqF+ZlOJJpEqfYWXytvYef7Uy8jgxO4oMndgFujqdLVVkToFlZzRBY7I6rqs9fY51V3EIHtWGr7D
wb5thnImpDbj9RpyCwguRkkdcyGterOuXZAEP/ZVcmN42dYa041rzI9FHd5FtTp1tUGKHXnKyD2q
I/X6OURkWqJgG6U3yGbZuOuoEd2YbfvWp12gZ96LFZqX/UAsGVxEQXtnS3EvatE9mcRp7bnxK0/W
R2GqPTn6a2GPH2FqngBIYgGLSa0l7PobzXyuZvvkJsVlmOQmO+QCsi1xuIosX8cSjT+GKKUKr1MG
HXkm79omg91dzIcqci7sMdnrakZErg5Uwa9sKTIQ2fDKnNS89Yfi3IJ76+U0rYuyvC/zoWQ0kZ04
dB6E0C5RqgK2QjtjrA9t6O+0LD5Ebn2KqvbJscxTXupHZbLSmt4286p3DsabNItux5CdwkS0cg7j
jeI0bNftRxH7F1pZBg0X3Th2J5TPd/DKYOz98iBFcqeMdIPsSNU98y2zALU5inOTIRC1Jd6BaaGV
u9FmBoMT9gByFjRZ5zfbNtX3RWc845ZHztTHra0RUcedydaiXiVlXvN0z55zapSgVUYIPcbGzzAf
wQ8/aFX66PvI6N58wyCX8qNWv58GrJ9p9SSZA3JyNjDR9cnXUMkeKXPosDKaV4MtrsLI/DKKlkr4
tKJG1gWUnxz8RPhbNI9Tn80f1WRftZXOOx6IgzsGF0skB5vJEhOueKr0TTg53rXU5bG0mCfk+JXi
VtzmlnaRt5DLtMjcNoiwq9COIfQ05OviyXmxB4LrPk8aYojjxTh6pIcH+TTa822lOS+GkYbbKqmf
BYnQlXC6bdb0OZlB3rUX6nt/efQg3KwoHI73kcrTAOPrZYWbJYu0+Voz1KnSIyQZ8seoAQUnRUox
66mGacL/o89rrfe05SZjtaNT4cDMAK5s213MwNxXlW09jzo3WooeslYjUeB6sq70LLmCMxNYqRUf
3HhuLiripcCWTEoo8+g4qPDWb/IXkAHWfrndHTiCYARYzYkpmC9eDIHnf9g7r+W4jbbr3sp/A3Ah
NNDA6QwmkZwZZpE8QZEihZwzrv5fLVu2JIe3/B371C5qEoB+wt5rV+KGOWJ85bGLcY3qEFb6vQmI
dSltHc9yzyAD/UieXtWhvuulaCAB5V+QF5MPbZk0s+592pUXMR1+yjhwyMZp05rd02zUt95UK0Ci
PCVGeMrBF2VSzJeA3h7rzHsWk3WLha+8tC322T3ouq3ZieclZ1NA/KdSmjCDGfiHtdrYlmxLINmI
YZ9kcGhacBVgnUWuW3ds+k3aiKZhWutmszAZxVmOtjGNOIDv/13Hd/2rHPwfnJnEcHqOx8KHYFL0
hNhIfpwzm7GuIyQp4nNS4R4oju0yrTxx988v8qMSXSUQqRch9hySHJ7jn4fZaTA17FfbmHz4g1Yc
dTaemrjvxvt/fhk60e9m5r+9jEROKXRbDbzU2/huZh7oukcXoFO4m1/G8kGz/oeL9S/+fSb/UOoQ
rfF1/fxdtd7slKWTZ+di5ELbu8Hrv37/Ek8H3xBflIKz/Pj+Q6kGtHadn136Dvva/g2E97c4NeUJ
+cMQ8Ofv56ffWjipwfie7weKLvKbFBqU9AXz9o8s8f/5o/zFS5H/4yiPio2Zy/vpp8hc5oXjUqZn
Qo6xFHf6irTzUKw5hiFh//Nrqbf908f64WdhdvH9z64bcT5IJ8vOlbVm/mbTd3U+z9R52P7zC/3V
h/r+9//pQxUy8XDi/vpCTMUL9vbRlnNEHcXV/7jW1Jv++UMhvgUgzOlI6IDyZX13LVt2YZYcvMW5
tbZB9jqgDQs+//PH+avL+buX+PlyW1DqlSFi+nPhvibBs9D+D5ezIssiV8Zzh03mx4+Q1Gw2hWYW
54QnIAPcbP4/PLzYkOmOMsyYlvM1fO27L6nQCup7xyjPi3wd5alXG5/ufzy7/upH5yJGcC1UNoSa
cX3/Q0CzrwqiyvMzkAZwMWrjYt8MxMyzKrP+x5X8F6/l6nwM0yBXC8fqT99YFLgM2RK7OEeqp97E
ilezQThZUmPdfv3x//N1Ce6Uvx953vUdI88/a5PVX/0+8CTYzMC8+Z0G+XdtMgNPgd7NwYfPItj9
buAJR5OrHDU/d+yv+9/fV8NsjbHU6zpqPwheyij2L2aepquOgT8eDfi6yCDnEmFxrcxnUv/peTcg
F4Nb781n3NvtlqDrYtMKnZVnarlBfenqRCawhrUpiu2gqI7j2N8hXd7ZbsqoQzE54ki3r6YCud+Q
sAXuW3EhcBWss9lqt6bReSenhN40AYG8MQWzIkd02mU+h1iYkvLJW4xkDXXmc1GjHTSi5SaP4fQG
Y0kESDUgSA7lGbLlsC7KAeliBVQjLsdlZbhsZ3u4+KjyzZvU0rLDkI89UEAbDkdk7zWJIQvFansg
XKtwifkobHr89BazwseY1nelkpPlY+M3uqMdkkmbLkLAMuul86ozwqgXbq5br+ZfCYz0CGV7BLLX
++1UZH4wekeW/qvaYu7EDv1GT+nh+urBS+pLUuFedI3hY5XzZpfRBNOSXAl7pg8Y7eNSue+LlzHI
Q867doE3z7JUG6oRNTdcolXkkFxlBp/TCMWf7ZbbAJaz1OpjYVZPSZwjQWHzpeZtLHfs+W2JzZPB
PngzutVtHIUocxKrBjFkwRPbaX0BVSLi9QJ9hBraQGc0Gra45c5k8aN7487EQNQb3pYG7mNx3Xhj
y4FaFN2vxLfGLh6eTNG3FZrBhN7XHStkfIirRlN8Ys51xLYW+rWoNsNk2n47fwTS2Zhm1a3NIHzl
5PnSy5AtamoXfieWcmvoHYqCzLwOmtlZSQdXXZVUN1GzvLpopFcGtK11lEG/aBQzrHDKw2B2j0lS
3vR6rrP/ZUGttrVLvQUDjczIAq9qODfTGH7qispjkNFehvBW/EFDEO06XK5uawcE9IUYs2aWtDIr
YlQELeNYFUsf195jFSTXaR7W67p1LoPRbfy5pinp7PiVbXa47obyVU6Id9uJYUKrBcs+6Erh4xpM
EaVS/uQE1uCLWip/EqFYhV14JwPJNVVa5h7w17ELGO32ReqtAmZrq7hm6saehL3/eOMYEZtEi4TK
KWcAwZA6d8w9hoduPYQeuQ8timgN26OMYFsqBJhTIcWzwUCtmGecy0k7NAB9WDKkn6Gff0py662a
x+tEMbCNMP/AKHFqzBCd3uiewILqm8RlyBK0LNdx9F1blfXOzqFatVW0t7L5bUy802QWd7S2yTq3
l+espv5qNTvcEiySkHgCVrQLnGdEdTdmiGArSdKPZBnQOpkBeKkReHimOYxFodN4IfE7UThyU8fZ
RqvSTwWdpNFEDHsG8droyQuAT9A5XUlnh55jFZfWEdzmY9JoTO+GC/BO+kafbFi7yMRJulujsFwP
tmGsEk977momRUl5VTZ5tholu78olE/dYgLCCS1vP1QSc1EONnY0uPDq1hNnMy1dxFcwe97/Oxa/
bgIV3/8fjsWYuc9c9n9xMPJ33x+MdCYGfmdm8wQI/KGZMi2UUfjOOHIsi0aS//XNt2P+Qt9FZpUj
6MioBzkzf9NMkRP61QHtQrLQiZgGZfEvDkYIpD8fjMJktUjfZHLc8lbMH0s1kM5oahryPaZGl9tC
qXYFuu3Vgpg3klz05CTxONdHndBshMB6liO1dph4sUdBPxyDYzqC3FChVFYNI8QRe3vq29OYBtV7
1QX5Tio9c5RJhs0hXPZ15WkswHJDm67bJu/O+GbFs6Y73dYIUIutiYtjflgExSkNK48AT3TlU2aT
i2JgGMH3ultcJ39Aum0/g/hr7kbT7o9dG8kDB2DJqdHj0DXsuXy0ep39mtWaH2QeZE+2nhX70G6J
VqiC9nUAqwHvjHNANpwOMhmZS0ZDdTMqcX3PsimMw8ofRkMMZ0BTYvjMhD0SlwZNJwEkXZn2O+Or
FU6EXhLBNcp6dnw8ZpqzjKqCuD5jiqAheipRSFntls5a5HhCpY5yHtVYhFC5zBhd4X8dqlHzbcY2
8aWjFWy44p4nEwuUOt+YWFG9OpieHWKIXmdN2uUKi0WxDSPHvph7Z77rxnJ5hUyPyrVgREEuJf7X
ODQ8RM9D+MaVFJN1tSyvQRstH8x+nxCKb4swvtBkCY3QcIb1aOP00KoxJPva6OddOsNdC6EDXqXl
VPl2R3TWCoKaljEXCuNtm3dWRd2U43RP609Cxtkh84wHK8VcWGkIiCLOYs72piMDtXXu3KjKD53W
eQ+VTljA5GEKyU2E22isbFwBDOM+GKt5b5qEwUXCBsC5KT8nrqH5TTdMu0HT2mkzZjXOcjZY1Rep
le1hroKCzFaXEbe+OC/hYkh/8VC7TkGaXElwvViq6+TZQPK3Hhf2C22KnGXpJ+2Sizdktqmyf8Im
eKJtGR8KJcfuyym+0xjHXUdKyF3Qj0G7xhsDiLxlzj0AR+o27WS3fshyBW00LOu9OZgfngP/OrMu
5DRaN4zVmQrinDQ+KiV+r2MONI/VLCxm9zeGxn8tiiI1/P2z+PRa0Wj/yTnM3/z+HOaRyjCNGRdM
I+Gptvf3BsX8BaSSyeTF0BVZi7bmD+2qempb7BE9Hc0EXci357Dl/mLYwuP/WIpn8S/9k5au5iA/
NSiwdYTiWyCHxff843O4wUsi7MFczlXVUhgwBV01HjdwZc8PRlLvAmX1H7FoBFX/pvcBePKJq2oS
l1R7GWI67cEbal+356O9QLqz4X6aiP55yMRnh8y2OXCv9SxEyY1PeFPDlEwn7zha9lWZlzs39PZ9
YrLzwCTpOkg9mlBlrTrjnWOX/bazjA/NKS7p80B2DSI8SmWwpLQJVm5tb2ZuX0Vj3+XYD3Wbm6Ey
3UdZWdfsJs42HI1V3xQDNMQhI05q3gVTarHP8G6yJLzjUbUubNR4sw2eN8xKHU+0+BjLMDkuS1+9
Fh2vM9vDbtEablbyFEEx7Nmr6FtMXmylM8yjHWsCKvGwuuh1QoHNaqRNMymE0qhGv27zAM3ewj72
u5m3Xg3trq8bcH+lSHbTQosg9WhbjumelITNFHYe5XHkNyIzDuZcXlo68nyD5MQAOcrabfQKdx2i
h5Sexhudu9qIHQJImm6NuIVP4TXi7GbOoRgplcvFA1vf2tkBBcHJIX3FKopu3XbBSxu69wney0Os
WXsxBx8MUotVDrHR9Zzcb1GdYDMjRkATYl9GQQvYINfvkWtgk5rsA2umyRdhdQsoYw8wWK4jG/5r
uLT1mrjt4IDAgo5TT3HUJR6WN/TOSxTPmzpA6ocP8nNjsEMaagOwgraoVtBwcZGnBLOQ1EWGZuRr
naFj8tK9lImUmUMWDoqD02v2Hk/4uB41Nz1Uru1PUuDxEsJaMT5Pdh3Op3rftGEZ3LmYYy8MJ3oP
tbLauBgTL5YqApefNYemDu9RlCDa7My90OinGFERRdzbm8FlJzEU5WXhNse2zb+UU9GsxDJCVBme
qpaiAo3sY2/WRGoiGV8PQfU0tK6+ke1y1RfTVZ7rygGYEL/nkn9JgnlHc4pGlFtCe+xGQ1/jAd0n
JssVJxRnCfCjd6EEx6iFQTeXK5AfO4TcV5mDJ1j3upelCs6Dnj54E0KdnAiF0KwRzhK7tk6MOt40
Sdlu46h49fT0GIWYdLMw2hAafywyb98xQ1yPUnsnf/iByL56HWohnY2pv1tx9Tikrq+RRrBqgJu/
Do2NpUl7HoSy4XXu0ZrQF1LUpzdOKl6wQVy2hnyXS3vJdvC0GIg144U84NI+T2VpHosm32U6K/hK
OpfWhMW1YcmnmdHtEOr4QuP5xZT3qbYRs3tZxTFZ0km7CqKYE6/S7uNBGqsuzW5gi2voaZvnSutu
E6cPEMEu15ENu9ohxdwaie3Edqhpzn5RoHFijiAON0AyUZOussg7Ss+DOJyeIRase8GvboIQHXBS
79J8eeHM7LYdLa4DOYE0a6IwE9WJ1lf9uBy8Kn6DLq0zojAIXRg9yDrJXZfZb14DKrafiOQuavlI
PHKxNvKAmxjXzcrigM5rnoUrb8mmXVuYc/4rlvG/E9dkZ/APJ+7H8Pr+V2cuf/X7mQvsiTg2qFtk
BDuM/r47c4E9QR2AZCksV0jFzvx25nq/2KbjwNEwMY2oP//jzCVtWLe/splc5ogILv9F62NZP+5A
fp0JMgn02LQgxuRd/HjkBliNLJsI8HNcXFuzVEMcBDkTtem0mCPmKrNeeWZx5S7ZrTuLt7nKNIy0
i0GgFt53siYJy+i8izb1zpbOQmPSnDcvSo9Z7z0uylI5MhDCQF9rDh0+8MmsolB2W8dco9IFKJBf
wcSFxhsMHuZxFuB6DZSZDRE6wfTRAcC0tVieEZJZoxAM4B+Y9lOacZnPy5uGhfZXf3fdP6Rxd914
4hSzit4BibvL0+mhLKfwFAzdRTkOFebB9tJwUVJMJIflU8lnXvzEtXAb9ofejbbsIwOQ3cW2iLRP
PYnxMMVXIBVPbKa2i4jY3kgZbGDrQG5lAokSf1u7GSBwwmjoYd/xPpzb1HBWYVzPdwsmtngIyBmr
WoyCWGztxIo5uAUolEJLNp5mP+dLSrDpGEioQHp2IcvY8+vRaDHsBDs8LYnvjkr+6Nm+N1OZjN6y
sgwk7nC6kS3Yj02NOG8dIvBnd99zaINWKHG5TA7iyQdjHNn+kgtQR77NRCfaZEk3NAg0w4TjhhGi
8IMSYWJNi4oEaJO2gB6URXQcnE0PxHyVhOFu0sWwlktA2AmkayFxPILA/6gS+5jprbcauuVlEVRr
IFoZxQT9Q0fwewwDPLBJA8gAAAialL6/nBqSiJ2k2BP1p22itLIxowxHTyctM0VvB/fq0yyci7xC
AJnb82tt2PWDyGF354ITfliN1XgA9LIjjj7AKhNg3YmDPUTQch3W1uXcp8bK00BfzxqN+5K7j9rQ
uCun1rajZ5IkAYRDWRXcYDwsHs2iXlYOlCpsmAPZ8oyvd3EcyZUuwY2Zwdbq4ShrAB+apn9cEAtl
tvmltPjOeMA/6S7q3CB9AMn9HObN9RQhUZ86FyvL8tQ22AF1PAdo/OSaKOdNMXUXeS+5mpPlaQA6
j/DntZtpwG3zEmuHb8TVsxOPnR9YqPdSAuZXWZPdc1w8ROzecHWKlreWXpIKsakWjFadfK7Bea2a
3jk2QNCWSOx0izRaEAQ7fSasoO9fbDe8JUhxK43iDAj5PFU6rl5nMfEYDQQ6OcXVkg4n0wq3afGe
YmDpER1s2jHYlfGoMp+F8oXP1zGRc64e8F9G4oc62T4tfTutAaO95gE+XltPu7XObsDIQhOXxnzv
LBQNU5nJldXIe/K3MJfqz4sbHTNvurFMbUdphre69t6DXN/nnstlJOsDUi8uwEBx4KdNkJgfdiIq
bijjnsv4SXbAfYygPHUxMHHPeveWudkk2nhdBqjS8tYQa+whkmjYwl5lToRCt0PyZadTdj2n3m1K
qpJSy9SHYIj0TT4bJGE53tsUdK9pVl8HRoOnS9qB34467qq59ihr7MsKnsL1Yrk74hAjUGlDndxV
hfE5mMmoDdPlYSnLK2sJ3wyETH3Wz/s88LRNl5oAVkIICVXUgs5HZUae0kdZyWXTkzhEtlOl4hVq
DnbSsFcOTBCeRbTdgWiuaOcvO9O4iHvjEEXdbYMYDjOudXAWcZp67bLM+ZRxWvtVF+kI1DThA+D0
kyiHYyHFr4v6/458tTH/+yP/Onv9/NH8RZv9/R5QHfkYYH4zN6g29/c2mxWhKzjvHdQmXxvm7458
yODwG6EHsS7Wv8/GU+5RGm3CekBeS46gf3Xmez9ui7+e+czIXbo+wIAKcfzjmT/MI4W0kOO5I6YR
b376qRzmW1kORCp74Tk36uQz8fYFMBHrHs8Qh4el0bzI8YsW6VvsGQLHj4b+jwBhcrCQaUr0mHET
vDUhXdeUSVLo+uJWeFnIQVwGu3EIjm6OXSuq5Bt0njtnWD5FNDgsDPApmRXe9zLK96msLizV/OdS
GaC8Yrtk5h2vxdoFTEGDOwiP1cwCwEWgHizOsUux8rNMWYH6eU9a9yhQe+liOkdhuy8lD0ceQDdm
pOtb4VpYDMWgPPzlBvEE2yiTaFCQ+eo5saJcWVt1nxyo5UBIVMbeIEFo63Vs5Kgt3E0P0G9jpcHO
wfS4Kq3c2weVuIc8xITY83vL2vQ47FZki8Wkwc8H9p1i3RURvB19ebS9d3Ll/MacVBN3IYfuqdcX
ZsEJWTVCJTL3M/WNMxDObU/zx6CzCTPkVloaqTd69BgamMogKaGzRnyIYI4iQzVtkiQfeVJtZ1g2
j6Vmv2H8uATMh7Jy8R0SZerWOPRBemPOiPRD27l1+YaCWJJbU5ItnWWnRni3Tqy/pdOir2C685hk
tYXZYXzITfGcIC0yKwAcCHLFtuoNxneTvCRX7F5TgBVn0R/jIWERU5DvbgUP1dSc0Oazl2P91WbZ
h9Cil2nQ7isL8XY03Xaes2UX+9RryWf8mFRZhF+vm4q0tkXJi822/iKh3eg9ALlaeEd+pqsxkcgG
MQOLL8iiN4HJxxn7ZVup6a0p1MaJbBNFFtFDuVsSaa+aonyxCgcXfzuvicx+Ff3I9WVgC8hDIKRD
V14ZQ/YecEV6jZWz9yX0JHMuemfel073PmgCaHVk3ds0xWEMFooi6NrQR8AYuB98WroIFsac+FpE
vM9suco/nD4mHV/SQpG3sjm2VyI3bzun2nhVTg5K3ngbsELstch9OJl9+Ti17NsOFvfcc86kqFT0
0ShEdbt0AlPkHN3MY+MdghSrAbygaQfAEpZkD4amr40EL2/E41+rvjAr6TwEy3XH0RQFybzpoDss
D8PXmtAeJpdqLQxScVcEFhUWUtDHGIbTRlBT6p5NDi1V5lQIyk1Vd7pAE2Th7fAJU5IarusTy5Bd
IKaUm5zkD7TO1nM52AlRBtxuWcQlXYwdabs02pBvrLUW537oetOdW1EBl0j/p2h5x1DMSjR0/Zga
WqeW7tOconrCn1Q4buTjeUUoKU+TENAqYuI13E8xlXnkstqFMbjFY3UAIaIikvyMWh7c1bZS9dtC
lQ+qhtEcdb+IivCU0Qmkwrnj2zV2wG9ObUKdRs/gwYZqLKhYYTC+tY54LEvrKdcljFT6jSSzKIvr
ZVFGjEebRQVDLDp39OanUTUshWpd0iiDzUR0Jn0cBl1oynVnMyKg4TFrsNdW+mWmE6oS+VjVMWQi
8da0xH7ouTw79E5OX+orUUfWyqLsR+7KsEQPjDd9Sm5dei9+PJqwBNpml8oHYCgjd4jVre3RjTao
bX1HnfW0eBANOf7Ljptp5taTFAZtZB5aVSnElAyYzymbjQugapfwXa8IWWPrr6qMjBx74odzb2XF
bFN7Cb1V5MayCShQtGjptqVXJ9sOCBAGe/1UqHoGUs28NylxljB41eb8KqL00VQNZEzzZ01VRTOg
3HUzYq5pgdnkM1ZVGdafR8SEeDyYHlK0PMSucxlV1ed4of8kmikHdtPstcJ8IIUqXwcVv0Ymgy1l
ve67gctjYzzIHIJX4PRoCTgdqg7v6cjEJ8+41rBFjBR8eqg1F41uzNRJ8Ek2Qsle2qBrvRczJzvy
+LUQ+K8iUgXC31dEt/Hwgdb+/ePPRZH6w29zEEP8onRw0K11dqzK2fmtJoKo4TDoYPbgMSnB+/3H
GISAQi4/pE+sBITaD/8xBrF+YZMMPpuFxm8Jhf9iDuKpzcL3mwfJ4tdEXMEYBIYkc5ofS6LILBC0
9xa4ibKuK3mlgaNC3+Ahj8p1H+dAevZ600pxEQXUIejBl60BukByt0JgdjM9O/dlra3GHF2GbRco
GVJt9kezLS4p/vM7Dt7x3E+iugKCWX7uwm68MPMxvRMGG1dRJpgYu0l+BGbMhFu4wdZIGsLIJNGF
L1Qv9GrawO3TjBU0hWyXmsboL1lhvw2DY3zRrHi5NVsn7smBAsBdzLDsdNeDN+3U/mQmJuc5eh66
2vQ6z/vg3mRzd9tXWhbd6Ymdhu0uk0a9HBhI0+M3JEpa6EhkEZq8YA8ig1aOAQfko3l0y/kVgdlw
0zSGS2sIWJsZwuIM+gm1TrLJ7bhOHrRksdVUIZUS6KBTN1gkLDzm9kB8Ah506yCGvNsslL2+XOhe
CW5yu6r2jcKGrzQ0nn05VFbzGhD0DXybTo2DVW8pWurBmfFGFpZFSnqbHGbcXZ5fLuJ2MWArsYC0
6VVl8rlLsuiicgiqOtr4TA9u7cbD7cIudTs3dgGBJ+LCHI+5l82FtvvvicAtCuGGeeTfPxHuWEW9
/r910y9/fiSov/z2SMAFbrs0NtzfOAl+jCY1UUXiReXFviHyv41GJUNTBpXQjH9FGdPd/CYLsZxf
CFKxgT0Y5EB8baH+xTMBos9PDwWQcIgyaeN4bkn1Vn58KHgB+oTQdfF9TTEyNmUNayB5UWsUn2Ju
kI2pDGSt2RC7l3JGYf071LYBZx6cRpnn4wXmHEQeEXD7Tu/3IXFiNGY24MkSZ1rRJ1usQptEJm9j
0DA+VBY36FGMe5TtTSoDnFbN3nVU5w+2MsjVo0XMJp45jDIPYdhRQ8Sf8Hfd5wTvnKURaOtyMggK
p7JHOWXEF3kWfQoEm8CUBFAXusVq6s0PQ2v6bWhq431Re3sHf15STfNWh0GHsuC2Nkb2JqT3wOA8
DayaQlHvbIBniK/YJaE2oaAFSDGXx9aGoxx21i7FQ0EX1X6GaLWgsguHjWQcs7bigKK5vhPevKV+
woWGdaZtmvgwZPLFMMCjjtN4GpQpyF1UmiHYh37CjlTGhj+lNHxZk1LdLLdBaMx7WzP4avp4uMxi
cCm5HZ7Yi1x4LpUPjpjN0mnvSZIRsFnXaG3KeDcuBFLXAT2pNqQgKPEGrvqF1MnMvbZCaPgWgMlM
UrZ1nXWbMD4r23eys75I/rkeLjX/FGVyZLSvUV+IdUtUE2buDrgopY6lEmCRmK/KbMADnAl82HO7
J0X6FiRoeV3nxrGekmmj10aFe1X1KVzDO55692JRkLjB813NfkAt7l3UQ0IP3MW+UwcnIKXDmiXh
Fo/eJSzV6zEo/Y5kaPx023Lyet+w40+eaMWumEyA7wo152X1donlca7nJ7PMt6IYXsQ4Y9Szhtuh
pWs3lvGDV542k5V9DLI2zkSwMwE35utkopwO0ujo9VpwNVjNG8ACSQaWYR5Q3zovkZbLDbghj213
0dL9L0S6UI43yQA9c9BI7AzL9mZqSxOWyKxG0VbFsUg28LtbuePFAEHJDeS2qaZ9Z1HT2UTYWkHz
7AlMzWIusE1XvASrrIq4ymYEwtLbfMVuGOA9iZYHqyrJnDcBDlqVvHNrB+f4/JFFdeobqX1LbGt4
6SzDZsmZZWLyNzyETKlDjgHz4fdkqbxDV8r3SdL84s7D9wEXxC+N9qYDeMeNeAyIdPclBy3sOdBM
7PzYNosNvHs1T3R7Vd7yF4SQUv+H8zYxgi9ZFVxnuCapmjv9PEQ9G8FemByKgIDNQt8sulPvw36h
gxp8IEAXY2K2fhyYz0mFstqhmbmKhKYfLYCRH7oepPelLqp9NrizBvgmYp343+n09XRS8Uz/dDp9
JgEWmcxfBGerv/zudNIpCcnhIc7s17L0W8XKweU6DPi+/R/+6tvppCT7SrCoikgKVCV1/HY6ub/o
IG5RH9quopAjdfw3p5P40YXzdYrnAi+XKCQFu8Wfg3ysZChoIiee1GgQ14JF3hZbY7KpErWYmToW
FmlrrSZbDM9jkl9W7eTtHN2VtJoxbNs5bP2gcA0StJ0N0gtmInMh144ea5d6t7zagbmcyJb/GJ0a
RTr+21WVBXdWrznHYgCYNQ9Wva3Q+p9w722SMHrsiOMY9YIsVc+9yDvzQjTGl3SaH8eIcZdIz3WG
u9ow917MdM9LoPbHuVXx3DZgEsxW5rNkatehxwCM8epHIsXD6Ggv6aB9jINKQw1goE0jOx0eWe81
xoJVqmunjurUJ7QE1FCK3mXwnDcFneXQwJ+fMWdjGskztUcMGeXljemEG6eESiJnwI913w2bsNn1
4TGMD8QR3yIIh4EQfCwK6lBcOwb2f+JKTgUTq2VKPuU1D0kk+1Fh3w82emw9+TKHajGRmTcuqd2A
QMClDGGLsqHDkdMDte6zKNtOHdC82rNqv0GsmMNPAkc5ij1SjWRtZRGAjqJn/lWKheeOsXDWgNzT
Oqf1RRfu04jFT47ZgKiV5BaUhkllz2ItmZlQGTGcWbskvbmplVebfec6xcl6gVyIE23Cp4qHb4dK
AH2gEfuN1cXY5xN73wfenD4WoSbDo9ku+SeAZZq3ysgm5usblvVkOSO0vHgE7Ol+abH2ThFi0I7C
h6kajXT3talulKwaHpjUIH+h8YiFEWxRthtnqcfTul0g5IXmXGwrMZbHfDHjBwQxjw3x63vL8V7S
eMqhsFTxeRSJiSOkb7bm7N57xXiw8KGAPO5xBaPwaQzjQesDw0eTa20mkMY76MvhbS6UX6LFOtYW
7FB1vkurHY4TdJl7rgAEWQLtIwaz6Ro+crtx+7G6D+vhrcUsdilTc2AvGX1URkRUrJh1gBTGSSMR
CAkZFmfo6Abzkq7fN33Q7E3IFne1U2ekcMviPjWBaFRGHCH+qe5Lt/O7zmFY2NPahLG9R6mqwIMa
YBQ4JCTJz5AXvGCtQSVf50DzNnYMtwJfGqqcOHAuull/nYJqXUfjI7v3CrmUPlNawS8PKadW5iS0
A1j38SVNxhGeRx34sdsVO0CC6efUstt9BoZhtdTuRTpG035A/bNpOm8RfoN8Z+XY4PZHywiuIvzL
R3eYTy19FJs+zImsobkz86HZEviML8Is2qPmLkCWDcDgqT0tm//Oo1/PI6YJ/3QeFf9v9aGa/j93
SxZ/+ft5pP/CdMIGVWV+nZMwW/nuPHJQwpscBximVf7X7+cROC2XLY9uEqUtfgBqOb9gR0OuyzOQ
1kbRSv/FcWTJPwlJkOobJGngLmPMSXzZj81S2882UFpXA7adJ+uMzUUccE1mDs53hQdK5bzXFDCI
feQNp5AHwhKD2AhVaJzBC6FJIEQM4FCl0ENoVcqVqXBEtQITxRCKmKw8lhCL0EwfZ2YHi0IZVQpq
JKAbBZX1gNpwlyvsUdgRGKVASDZEJAcyEjbfdh1Y+o2nIykfXZAZTdJ80if5ZRIYsJKxusvN5EEa
agKdMm7tNZayuVc/ib7q/dio/DyFWAhpHGRMqW2LGrwgbdRuTNGBw+TAIdfnFxHCdgKrgpLzDJSH
5geTeKmyQZtvknFwhy1p4yPFdqkCkwhQ0yvaPpWs5AEqLUsE7pWB7GtQ+Usmjy/QCNZmUNlMqQpp
UmlNXgEYVOU39Xry3hHoFOgkOwUq48nqTtnwYLalZIQP2Xr0esasc3knVTqUQUxUovKiJg9SBdiL
YQ0s/9IJ2vai1os3iFsJQOosKvUNqxiOZCcX5k2dhojpI2n745ze6xH6ENlDYZwYxnJcPxXEFVAj
l+dqmcorTv95rUlvU0gEQWF1KLLy1BrtLgcAlXnyYrKDJwaBLApSayb5mB64EPrBYPgPXqYl6qGb
gFs5cBX0jPEM7+eTG3bxxaB62kp1t67qcwF+5Wd8r/fswpDyVPRkYOUuxVfiTKfgM2SUgQRpvjJp
QNUfF1hZekvPqDut6hXZMTWVfheyHgSfDemhsc41tBsNHg8lwI2dyAPAt1069PtI4XEGODmdm58n
DyrcZM7UHgMuOX55ZnJRYvdQ1JJPNsgdWUa7kaMNQCoLO6A8E3CeCkhPA6ynAdoDLHpvKIoP46lq
7SiyzwLihwQLWD8G1J8Jeb6jOED85Mmq75MPcO6roeG9adgpN5biBzmAhBDt7v4/e2eyHLmRZdFf
6R+AzDED25hHBudpAyOZJOYZjunr+3imUiWpqtSmXmtTZVUSk2RGhOP5ffeeawIWMpocVxKkoU5m
ZwT521wxiCZFIzI16y6Ww3uhteu8vW+kri+xWtyEYIyqFgxZNR+AyD0KPxm41IJcA3wEZ7RjxWme
SQC95oqNpLkOZDa8pibYJApnsK0qklINUskP9HItcgRJZ8bAxWzArsbgYVa2Glerkau9/W5WAuic
wjWF0YU4yVPdDKcInFOmuE7CmDa1Ij3FQJ0C0E9JXlwRP/EWdOO+94oOhb3y5CteFP7pY5bxrwGS
otijQ1fM9x6IqV5VwCvm1KjoU67iUKXfkVRAMyZ2lApUFUFoMBaQaV8SVRphJ6yVFdhKa3dQu15a
gFeD36+xFm8T03vtAGLlEiJuydMd19USkQAoUvU8KYaWoUbQwXJOniFvPb2mKl0Rt5rGfI5BcA1t
Q7EBTK7Ss25MIF0usC5DUbumuT/biuM1AvQKisbb+6ROIlBfsZc+JUZ6IvL34Ba4PbNE3HbAwYyK
3hhgYamQT2lu3TWKIpaDE7Ny5b1rziCBuQzAGwsnNOoEBFlm1McaJBlvkkOpGGURsLI2wMas6GUS
pHFu1CvcQtmmB3BGCOeo+fpRMyGf1YO2tyZrJ0CidU29z0GkDT07wTk9jXReddl80/VpBxWoPpvA
1caKt6zHAJa32UMAfi0dIEbU9r4Dy9Za1SEC06ab0WMPts322nu2BRnKQLDpbbgtAN5SQG+6Ir7N
oN8CoznRpXcoFBOuBQ4XlekxBhY3Ao3DWACRGC1ZL2uxTADLWX28KQDNQTs8xq739c9s8mM2YVb4
v2aTpnhrvsX/CYxu8tU/5xMWPLqppgxVBP99nvhtPlHMdIFqaxEt4cYqmGp+3pdt/glDiE823SFb
onInP+/L5i9cvj3uuDa2GBfm598ZUIjU/0nN5RLKnOO4NtMJQb/v5V2/Yz74o61VPm+/Ky31DEQf
Ng8ed869o7YR/ffFRFd3DWA1kmXkmFK1vAiGuk0eIG3i1Py+3ijUpqOoq3AkmKw2IJDWWIbIH5uR
cKxn9iRjRjyeT9CPHYpJhSj9WN+XK6xxGjYt3fe1i9fRBtHYmMQXhQYrdTGHc3KfIyQ+cNtLDFRl
Md1FdLRQnJ0k0aaq0DfLLmt3tEOyabel+1jovQZmEEfnY4VvDru3Xc3T0iq4Jy21ti5gAFUInWlf
YYEg/kVBhL2DvAEPHdtDwN1MD6kk85L4TFrCk7DIZ+qTvNgJln5pgMAW+TI3Ewl+x82vXKfob3Pg
8etGpqCXY7fod6iFNjfc2ns16ECbMc365czTSjp0rnix7RIJyNxbzAPgeOcuj3dZ484fuaEB9Q2t
qS2Wk+AhaGxQFhNuJpYpoUh6vdltba7KGkoZeOUXiHy6vk7xCq+tRJdRsWaJxd6JHVI/K3vvYM6z
T16dtcN6qppw6yJl3LRNn7xiJmpvfLd1oX47Otfb1oru86G68s22wjKo8bd5XWhhL9Zhq6yoYVDK
eh8ZugwuXmwkL2nWGvfIrhl9GY4kSjIUIs52wixI6GkegfJ9zfQ2HnI3toZPZ/DCTx9A7hbKYgBF
MSKWGfuwwFqtnbhMAtFJvbh9jky9ai41NzkeUd0/Kt+PSkzrr29V0Vvbvf37jUp91c8TCxkPZBLX
adQzgP7Kf//bjcokKcclBAkPFBFG+99OrO91mXj3KG72lM6nDrNfTyxiycwxKBUE4n5dcv+NK5X9
naPz+6W0bXHsqWUWtz6D4mdkxt8TZAz1zauMunHBdmJhW7Jd6NbwyGWG+E6tXapIsEqZ43OaGSPb
GDIjU0isiBXoCpfPZynjM66QewoyYbTpNdEy0yfuD8O29Mydl0ksNME6B7o/DPw3UbLFgGHdNPWX
1u6WeJDhFYwR8c76LXKTMyC2T5eas8E310AbILPpFcsN64OTfxtOeEPMtsRQFOdyl1TNjlKeY5tA
VDbszQyFD6UDw67dA6wrH9yhvxqMSIKZteJtNBtvWYO5UIjnCLrcxg0CuayQ+LYNNuIl/Y1ogk57
sMcO1jrtD52h7XwzWadRcoe/v0KlMod1X403BReqRetVm8FRZmJ+uCONqcZy9gbk94LoNluMi29m
3+gkrbaTgQE8ptGGq1JwT8MBYj4IBVEMGiuD5JxawAzj0EjX8JqzJQ5GoAxjOSEfemuW/IfI7opV
OGQPwIm1Qw7LDiwcfAtyUYXnHzigoTza3dkvjPs6kluMTzfxGGtrOXMbnfJhK2bviyg4zVZGcUPV
cb6wPP8lSfRbei3YPgQlnbx4kaAxm/dzHr+koDeHjIsk0yIDeQzFllk4qcWXwiXvsEszL8ZyWket
wzkfmOCro6co4ecPiU3xpFFcdHB40imJARamxc1AfpZJutfabDWExMvilsrhTnfYMfJ9xNgupsAv
2FtS4T3lt2NDOq/0CHjPJnS80KXFqcDN3k3kFIaEr8Oj5K/0PLW2eSkvZek92XrA696SuNLHeiHy
6kWX8alL4lMTgzjUQp3ibPq78OAVeA9boNbInZigu2obmOUVbQrgQm2XxSRVXGEbX4mkfKGHPN7U
mTKsxw0sDtyIAz/ooEqD9IwuNl1cG0a7rOwBh6keHJtQ7gHnPUit35ZtwWRZQocesYfnMfJz2/t4
hQYmgSzCcCT6Z1Xx1PYGLQ7jdograjwK+ikhlQCm47ea3OuyHqgP9/s7L802HZjY+arrz4EWbybh
78OxuOh2cW30wS6z4SBKx1/1Ci6uFsQS0Jkso3llzA32T7aYvEHjYOloVGrWZCbLgj+0yO1qyVoi
Xw4Kd5uL/itKx3Q15qarcp58VNP2fUxA6Jfel5uMcl8S914G0ve3OCr2kQ7WceZ61DA5m/HCo/lu
q1EKs7ZHuh5LNxo2vuaZ7OZwsY8RkRmC45u8t75JgFwbGaXfSrN/ZsT5QOagXa/lRhGaw/Ukk2qJ
R4MCiM7p1hxHvbm0ZQHtkSR/d+Ts4cLtVTBfx7o2FkXe7e0CtirBisqxH4gRenTjsS0AdzpRCznU
hb6gqaCZkWgJt669gr4UrCSG6e3gLGEEaUzU5isudJO88wUE6rvBbzTzKEdZHgcb2eC5mS2jv6Rd
tStDVrxVAhqrtOgVjFXDYC3mN53KwVZ1D3bpeLBoBNs0qpfQ05yjTY/2iqodayEpL6zLsgXh6XC5
SaznVHM8MO5Umegk7Q+m6j9MC4+KKlQ6IrrlaxVYb6gpxqrzaPMzZyoeVJOiibaysFS7olA9i02H
8jtRvTjR0DDGfrJJK41eyeZGC+Qx98rXPh64mZqsyFWxos7QGVY2HHJzPEQTOj5OVt+t3mIIrY7S
2zrDjtam6odktrwTRnIVUBypJdNLFhlfs06jZBvaX2mfPzK7rLT5YKjaSctu1gDnb9NRhVUiDMAj
+NxjFrlnkWYYoOiuHOiwjLjnkfCi1rLmJka+Nb9yXGUxtn38BrRgGjwxVwOYc+Y1eZ7FdPTtUTUM
JtXOLaBgtqXotnSvc7azMHFV2ebcUO1SBNp9l65mO3wyGjQqz0ro2NJwTnipP/DNGzoP8Wqas68v
Z1ZehC0pzxlU3Wc+VgOlGMOp8ti2eB6A61B3L/FQnGXmsjAiqepD2W/zlg1s9+b4w7Q2VLWo6hhl
2M3WgeodRQp4CCSddnIonsqsPCQaFS0uZaVStZbyqbN4D6CAc7/QlsB3PumSfeCA3ogqO6V5pBqT
zJ1JHSpRqq0W049KvnSPa+O6h9bk2+V7zIOOtJO4skR3tFTHKn7qYBvMekNupgHv3vNIUJ2saKzJ
IqKm1bcnb9HDvqIKqN62djwsY6u9pLG8ZhLZAPV67HN9B3uCBbrqgZ2kNa5TAQqJhWS98lMIslrI
P3UxJKygI23h3upbyu68PSgOf9lG2YWaKFoXKaGlwgejieMf8Bg/ZEhQ66nkIciRtdHiOdxqgw6g
13eW0B5Cri9FBhzDYEtGNldrK0XVFfl+NkgH9lBM8EOrtlwXs5cVX0cyedQETVBaQT0dhxwHHDVs
c27wkbC9a6Pp6eHVcWE7VPMWZfgE15JljvsxU907OmJTtc5zmdLqG1bOqiNoH+TVsyi9nWkBQaEH
2EyorzEoBhZZdDRoCg7zbCtdgBTpfCD5fkOQBjttJ+4KVTJcaDbmXkoF/hEMfggGuKD+WjBYxZ/h
f9pl8IU/J2/d+UV4bAt+pUaoeOvPyRutgDSqglfaion3u8nbNH9h6622HP9ac/zUCoxfWIxQ7u0L
nFp/d5lB/ceftALsoCaPEuKyFjdhzGR/nLypCYz4THTmGVQpdm87rfFrLqVjp4c85s5IdrWf3QbA
iagM0PLFNN9Joh0hXvOTKRP3LY2KpdmRahf1a+Jmun5NoBMkRdITN1u0feFf8rLjDWnKLN7X3WTc
cwfQ7L3eikZb+L7WXfLADA7p5IhubaRpot/FLhm8IypB1n74RegM58asGvuGLci2d4rskyQaLVAF
zBzC5SRktkIZHf3vnseunrq9lRkcrvOMU3sdiEmS2HTJ8Ll1JI6G9BmN6jqh2onmkXUEmGbZ1E23
lmKKjxSuWqcgmCukRT/w32TLNIaXIMD57loIwWkRyevIsBUD7hUY+EfiINq6lp8vech/Vl3+6fgl
DLM+r61vQ0d1gQB9XofDvpiFvek4Y14HAr+L3hA4FIZU6uAfBggcyMBPusY+0k+H4GNk0ti1ZmHs
I3rTT1pqqLGuIQFTyxH/alVvLYUX4CzpKLYsxqXtVTBXMSxSSReceXGrldN5y3Zog5XX5UdP+uXS
DhpsU7Y971MLe0NsgJe2/GjrxjUMNeb/hTl5ybJsJUyjIl1Vnv/pWZFGNfe8y3Q0WEag7RSQC9Ha
PCViQVNWa43PVmQFq3SYe+B39rbUfVhStJ92UTNcpeZIVjJi3+xn9rhq4ImSYKyMC/SO9E4bbPO2
cJziMxFWw9UiLp7o/SJWEdffCvxlx39Ore+nlsq1/8WpRetj/p/EAr7q55Fl4EiFSIujx7N/BeT8
PLJgmNmQZJm9f177f5M3PRypWN4pLdJxv2Mj/U0sgJ0jgN3wZynsDq73vwX3ZMb9w5GF75Utn9Ir
PCg8sHoMZInfiwV0VGRVSnXNBTwpqzbbm/Femo78aBK57i2QVUIRIbQANkSi+49BBwM9UNwI23bf
uzy7cxVRgk3yChQqjAlgE1IT+xb4BLvHcNkoHkVc94QugFSkpv46KGwFYe/2mNf1vu6B0szxxey0
PUz+cwvxQlfoC6kgGD3NaTgzvF0BH2OG8eXCy+gGp1yWEDRShdLI4uHWMLsXZkIApGlxM6WaDi6X
Rl0F4ggUkgPnEnW4zpEi1gxoBzX0nEZ2ctsqngf8ILAX9jFXpA9qZbaTYn+IyrrQGm5BauTsBA/S
F/LotcG3yh+OsQH5U3FErBGiSFgE50ExRrDGvmDDW7eKPoLNVRmLvNXcNo8xgJIQDYR4oFkvgUc/
jEBMpDpuSiwvNDWfJ8U50fkdAsAn8Vy9gT5tN31AbTKb7nwZGbW9LQCmBIqc0nj5A+SuSyuH11yx
VVIgK6NXb7vv1JU8V22N+sYje1YH9iU1ILTYoFqkYrZMs/+YOP6GuMsZg9RWKLpLC+alULyXHvCL
BwBmwF60HkDCxBFhrF5RYmryabXixqRp92wDksHk1Sw6hZYBMUOtV0iYB2dtZEWrAgwNd3YKHAHT
tIGP5gSqxgBZIxS7hpnRPwyOrNaIwt+K0L0Lg2krU/j3eUntXWnoC2lqn0QfjjOwNifpnvj/dkXJ
0tPqPQ95KG7Zn3bXqC3ZyR/ze+dU6inxC2opHEaAVWQGEYN4+0Vsb5e4DRU4jLOdbEJ4+OlZl/W6
KiVXl5SkU6+1d3rfbAk1vFiTvvVD9FrAPEhRuA46qo1XRZHfyCRi49gCZ+5mmJ1IylPkEnXAu7dM
5+Zc+dRNJTm0UG7LWyMsj6ltscLmIZJim7HS4ZBEXUL78XTV8JgQVnDssICjBMfu9CGJYj5FRacE
bj+HPVAW7q1RCc8MF16Tazei8uvbdlLTqT7Gm84UGxq9qZI3gi/6CT8DG7BuVKLcido9uMX42DrN
e5fKGlpmeeOG/laL0hsdm7ZHV8oSXXJVjSjtptvjRBMN0M7uSjczi1+uWteuqyHmJZRjjRZtwzAO
/cydl0nf8nwmNNWV48Z0prfRMVZwcF8JWkHrmR54oaOFl2j7KdZORR1to1TbFwBhocIvw4RmIUo5
6XHepF5B+wPhx8maCfF2T3rdrCJ7ClcGtcg9nd0IVYDoYlgVROFVfnQ7oG7kVc4L8tip5rRRqlKV
Zc8SM9YC3H2Fu5pyWsZj/zmHNopzPDr17HFWSDL+ZswdSYtosQOhd4Xa9NEOgA9Y9U6jW61Ty1+Z
1XTG5LYneUIvtiFQJIaB19ZeBJrcybb5oBDpgu951SbWvYjBpfoTYfvUhQdhkxlLYR8JtMd6VMzc
VNzZMvisHQU47aH4sWpYtm6/00Mue1rNZsXMrwMx9yTa6G6LsfATOFlGljwPbnEcaSphJMmWVui9
0Byy6CD9YIBAvRVb35WwFfonYVT7wBo3xGncdZpknH9joS0qp7w1JUWq8dxQJxXSbpvsMg7AKu6v
Ame+R6RY1EZ3Exjy0NQ9uAu7x+wxrebZ2DhOszYp/kLI6FfU1s6cwubGt7sjPMSNB9dx6WM0rivx
ngWtgZIgX80Ym8lg2OZed8NrXaGFw/BGn72T75HVnSnm2TjzcBBOil2MZXZahYR/tNjfm6Ett340
XpuZRkXsdG343pdpzMhY1apFJGobT0OIYT81MOpOXXXdud7DGMtomds2gJbc9tdjYmTPqRlMq7Dq
v5JWHuluecxksU9I7UY+5gXZxLdyNlA7my87nNZS6tVVNI6bOpkfUt2YiRuRxcXs1xb2TaMFUMmE
/6I5zdNYj8chj1DEZe7iJveWnc6VkRqbaIS0OYRHq+s4xq2JfnVc5ApBw0IcqEr62MPwxXCOmrzR
5m5YeqO3zkS8R0sGMTbk84o8+zerN+Vq6stx1Tb6mz/PF73JzTXjQrgKDX2DwJUsApOgM5t0tmbp
GZMix+U0kpQv46cyMa5LcsMo+BgwS1K5UfthI7F0gvu5Nl1ah4HX4PxqXFb+hV08jJP2WI3lfRYz
sNKYvqqyGPf8NFz6lCHdmr27uajMVSYTedMgvVJ+5CY7S1lHHBKgWBF1fMQ/Bsv/2iBhsEv5Q8DO
dsnpuRiqQReZ3OH+lKVhsahbE8uwi36XL57tTX9dL+dFvvTf7m/bM70p63LZ7eKTvR1W0a7cRAc7
3CXnaPvPgPvjWv7XA+5b8T+H8q2WcfHvKzHFhPptyoWsq7s69jrymDrZy39dzL+ntRxeQ5eVpYXL
8LeVGKOsyQ9hsPXSBaeBqjr4eTF34V3ov/5h7LL+Hq3q30G9nlAdJw5LOeiRrvWnohNCWvk4WlNz
mTRCj8SradOG/ABxHRBfVFxiyzmTcIyuHLtBU3PsmxrOC9sOcWsG1m3asOIQ3L/HMdonPWe0q2/4
iJ5StkNaT41XoZ+8goeLQRK5t0ZwV+ZJZOiTpsyvGPQ3Qeie2kjblJN2g1X4wZ2KJ1ZSxHRqLoPe
gjwkdMACCG+JfMnix4nMPburx4bACl3dDLXZlaQ8kna+q1FZ031nxDYzs+fWqfUMH2xCYKhjyTpr
hnc/7s6Bn2LAMV/NkFt+1x2KwGFa8I+9VV8FUXTl8+DG0rsMo+pKUpdklvUZn9gTl5ldRPmdjyFd
S8tLoidXpQayVWKNbucVazZm7fY6iuQ5HKZlX3pbixYq6v/ghvP49L9a+gzXOdVUFArKw+x7b8GA
iO9YT0nSsyliiWG31PbOWw1IQF7NQMqbu6mdgOeN8SW0XdJMRHAS58Fu8908tbe5170Xxoirurgi
aHrqnXxnz/KQN9NO1tAcQ3C2SUWNNx2DgXqQWLeuGsw8rdp1Lo9PKxvOqWSa0SfcTUH6ZpbWrV85
yygOgOxJ9yK17hQa+WoO+30zUw3mareJP+51ETxa+YRR1Fw7BcdiTSNaoLr3okDUS2Vk4ok3oAfW
1ENOMliVsfPm9vhKq5q1QMVzKRwrnG3ICfkwvsO69dFAG1SedTv5A6JK6zXJjjBvRMqoaZKLNc8j
gwBldea2b8hG+DoO0V658JUdv6wl2x7E4bTsqkPhNMzvyr6vZ7p5Hu25Z02kwwEkgYjzk4Y6kqzJ
raEbBIBB6GLv2yUF+16YpN6aX2leFsY8L3UVIyDKVq87FS2QLiEDGk3h9ZM7iK2pXrGPoOvApJh7
VvEECtKNxUBiwWs6QVwKh2dCmiH2WMfMydegYg6+Ztxr5B5YHq/wo19m1roWuQiG6AF9Ay8koQlu
WmePEV/DDJicGxWu4N8lZkGci5xcuI5VAqOkd11FMqq+7eCJEdPAhEY1YWW9E2ssFkKFOaq2poHB
8q9i1Vnpjsk3X8OF31tAAXoVB0kN7zOs/NdiMh5s8iL8/BG+etHStkCYhNkvXEQqYGIX3NjAtBKv
hOpSkUIxvZiUVn4Ao/hojdOXdMUhIbVCO3i8GTX6HMmzxDONbnlWXyHq1CzCUIUMFX8pycEUVcSa
ASrm2oh6cyUtEz+IXjwPhJ5XbZ1/00pFIRmpnHCjsNgk6bgPtGybCNx//ty/zCW3P7rYLrFw36N+
fB+tnkzlmPO+dR0CEXjt3CgDLooeaNTUalYZbkvT2Aal8dzRmrjgmILsAjQ1xBognfh5CoHL+Zr1
EQc1VycWCAR43jXZrFqDwPQYCEqLgyeTyMNyAp06G5LoEAMPqR5jaXUsWeamuo/w1q5EMk1Uo/O6
j0HwbKpBM6gCl/eXuYG0i4TuD3xE43SCJ8rHshk8mtxM8ysXkNn6IFQUugYgVTwshrzeU5Dp8LP1
B+hZlzGn0Hwi9+bl5n6IBFysno2UOICDpvBV88lvQlRZSDGe0kjcDWF3tIvoXp9cCs3ZcRYkDlkS
DebKGbVTDKuUyHv60EQkTGPcwKvMrWiBj6K02DQDwPKlVgYYaOHfscXto71F+iXKemtRCE9jAQ8k
YioY2Ys2LzejNCAaTgirrJldfcxuYgpE/lkR/HDmKIj/X4htzCInGbf/c3mP2+o/LQr48p/ziO7/
Qt6BmdFnc0hoDiH+N9UN9w4wCSYPX5jmdx/Ov0yFGAoB0fAPPJYMPl/1cx6xfoH0z5cxqfy6Xvgb
Fp0/rwlYU+ge/0GfjiC3/d1y+DtLYYPU1mJqDC+0DC5a4xhb0Q/31n+dmyFV/WFwVjl35Dz+ILLw
lDvxS/1R18v1UvhVNo1X1ADvUdi59NLC2GzcfDyP5ugMsHmmdsv7l5ZLrUKj0zvPvjMg5tD9AmTp
7Dau32LjC+qzbDSvBgZoOvXZcTQxrq2WivCVqHTiDu0g1mU1iIqgWZ6vqREU2xFH47ahGnU96I6+
5fPFk64ckq3pYE0ueuc6ARGxraAxr2RJjC4G20sdYlMm2rbIqXK7K5o5+soxKG7MH0WEXgv2Ed6C
Kij0M/7XWq+AzawjKxfmHVAkXOA8b+ubbuSniOt5M2u6Deo/ejYrnStgBCSZ1S06TLo3+3qLI+o0
SEdfuJ12RXnBo52a97Xf3jVE5cOif3RsZDTPqVHXYutUN4R5rfpEje9eD8OU1meA2OHoHAegGcyY
at1aQolk3S54ZszldGhs8VIlCRXHGcqAKOtLEzvJjuf8SY7iPXLSiRs/pC0rIGnsZfonjTbZavJ9
1qcOKwwfemSIOLDpxhH5zwzmYz1Vxz7QtmOe7jotDrd5Zjer2JzhViPYDPE5R/9fBya14Ax323lu
9gHX3ciueY5w2VuFWsqAU9L5DN+raEeafqL8rmy6Y2QqN9EknI+pT3keNuGw5Ha2GSveqoAB1hYW
UwaPYgXCaT9WNcInK3I94aGUshrB/4a9IUzsO9uaSoQji/7nAsAg5B+D3iWLrcXUnWun18hrUjZN
zHNbZuLTcuQ3RFhvS/AiP5p+TjwmSu34piq8HHe8FdvU2GLcdimy8NlqbVEnP1C+9rNDklN3HzpW
KlkUOFxacSWk0ABM/QTD86YvACYSDEyaYN1SjJk7cMopnN56Q4dmZfIXbxfurhX9k66Ak5Ud4jDw
XzHunrEdYGJqxoOdieuZP7TX8fWj68wWppNKezNa4O7auCd6eTIDrGXu4xi8lt58oPXW29jY2BrX
fqhnnZjK+N4zzcjOY4dPJahtTNdhkOjsnVOH/Lz/koXGi0n8ClyLfvKtAqeCdaEOYsqtaBnNEg13
rjdupN17Y/tgpT2sdTqq7Si8tnrsNyJmaM97WtHLdM+dDLhErz9WWnSP1vegVSVgsWGjZmXDHQ+1
rx3GUcyLNnEO7O+2mZPxaHXblVnqpFKk1d1aQ3Lg9zvaiXjlaY93z8yIzJTsCgwYBle5Naa7UcuN
l3Lw3OfWK9Hcx2kKHvIuSG/HwG25NmX6Gr4eJIW4i1a1ptqksw69pKPqvDY0sRr4WCDQ2fGVtJS7
LWv6gAR/5ahPGAoBCpWvRsI68N5nB3ZVZDuPGtPJum8drjMVbN2s6hed5be8mU34bJPMjlRwALcz
7NtO4Hk066FehX3lLXQ9OdIzfJdXKTXiA162vmrhl/rWs+NQLe/0q1rCh3LHtjh43GzOQUWCaZx5
0qdO+W6FSYJONkV85MhLWfa9CCtUxmRKMTSGpwQG1mJKgxu6Xd/l6C+TAEdKAhQ50MQdxNMX06xe
aY/Bl53s+qT7ghtwweKVsKaIGHiH7MVI5AY8zStXxoX0kNYsnYViMCQAJ1q6yhLVxBHYq2mKAY65
66Q2vrEJGLlz2BjN+pfeDOjp7ioiQvK1xYlVNbzM6UC3gfukF+0jViusdSXS5Zjcjdl0Kvxh19Uk
uLQheQpxCsUDH9FxPPdU0YR5wICdObddN1+I576MkX1VJtbSs/qngbWRPqDHuHO/6S1uN6OghtMi
0OWkr4iucP8SZ2slto3Nnatq58X7sMUkSisX0VrbudNnXrU2I3EWFu49TphDZzpg/mPxwpOAGxuV
bxq4aQbCblcmIf45SB0EWHY22hjHzYop/2wW/PZ55J486e6aNDzoMNX8ivUT5LTKSy+mDWA3Z8Pa
BkTXjfRNo9nJHuKdzCCl1TJ4E1164O96Fc8jbFnDP1hyumkrwY9ptYdEaLvGdl4DQic9N3yr6+8C
y12x/5s3ZOVL7CnRtbDGL6rUAKqRPBFWQuoEw61vZ2xj6vu86OZVWpS7PuzrHX1V04kWpFViGCd0
yVcnKI+i4WJgGGWH8ilYZ1nWcE1aE0m9Cc116jXPhYjwwwjvInwYD0NR14pmD/Y9GvON7TgfcYYp
t4Zm9jxUDu8XnP3rSeCSN604+zYiGa4MM48w/k3GeYja4Ef45b8OIUqb+5cPWY0gwLco5GAKYfkB
pPSPIwhUDZ01VKBdJQmF7Y+p/27ZP3S5//e3+JPhYuJd7KRko68EdTkON/jqMibXvxszySZNYVn8
vrH4jxLkz1/DUbBzakzY2P7x1zDghrLhjMOLGHjKUzTYUXB9r2mrv/426GD/9rfFopeSRagvKu7y
x28TlslkumkfXiQ5tJp7Z0vJu1Y/SOt66Ombb7n42D9KX/9Bz9k4g/77VeJeZm/N578rmuqrfrtB
uCSgSThzRbB13zaZr3/eILhc2GiWHh54lZr+XfcYJCn28viM8Bv99P//vEHYv2DF50nloT9C7LX0
vxNLYj3/h7eLLfjGdJuB1VQNZ9xY/iSMM5WLusAffQX0lEZlTniUQuriUzIlomeCbDJlmyYxWAbn
mDrGla0P7bIp+uu8LfculKpFS2EW66ialsL4iMXuPLkcgaxV74RIv/VYTbn99ghC2gBOcTDO5aye
QMIJl3mr8FaCc59FeGs9+3UIviLyLcqDufH72ryhM15jGo0QP1AiXKCKi5h2e9srXqupfOgjJtuy
ozAycBxQ9N2+gI/V+doTHTFHHnx0psXnPo1OXRm/tqWXE4JxrxvTBvsaelC3mV+nDOsMp+RB6uVL
PomJfI9JTIGWmmWdDRytw8NkVM0abN7GsuZuZSSQN60hzkhGe9/qCLWEoplT22X3Q0F1j0dI1k69
W2D63+rWv44h6iKjoAiJMOnWwUABWdU/gx3/oNbxJaiNC1uxD9waOBbSJlzLYmCWdPNrFKYdLZ8L
KwlfM4Phpcq8ajXAAMYEUH4Muo87knBoPjXDojLMeTWRyNxglWiWiO2nrk3h3wenIqTRLa6azVQO
G9EMFJD6OzXTkAX9AsD66ebNvck1AInvOQ9nJBjVksaL5IvGXgwD22tDJPXCGGvnxunbc+SPXxnd
0iuGkW0JkX0pG0wSCDBPVmjfWh35eS9O763Q+JKG07PCVV9uS7khYPWcswFtS/Zfju1sZMeEBhQ0
2TpO9kIdULoxKglByRZoOLRa1jyAF8LSqJpJN8KtmJs8sa27iIVaysQmK141oC/D0rAd9DBCAzWD
s0N2fxu01TEO8vow52m4ahJ0WjwMt27GuqewN7K2ajZTAZjkFF1IdCMbq7lNWFLxjrNpQVt6M2/i
qeU1zI0qXA/NfMdtk+9aeExa/SYQ8m72zEM8pCZU5wyncR2wZMuYspjVP9huP3tAGLBgVe9CLxsI
MgFkUgpfBxHvcD+Q8NWinYDXu9LctFgKUW4dtrK6gKnIjZXOmmiYyB57n3lSnzAeQ+Jvk2oN/nnv
hNMEmBpqW/i/7J3HchtLmrZv5cTsS1HeLGYiBp7eS6I2FRBJlfe+rn6eBEmJBlK3fnCBP6I5mx7x
sAAkMvNzr0nwnCgwSFJLEMc1CHmcYb5XDZZRcqkwVB7z8TxhyH6kp1E66wm53kGsOr42i6Lui2pH
ZUvpXfnBZ5bBrc/U2vK6uRkY2sJEHD+9tpoYvQTyQWyknTKu/CkMQescKFxgng8FSYtW9N5tACKj
itlCE4E/O80r0Ay1iRR8BxSI4ZpvOd6VX8iifjP6CwpqtIiLADkVq9UMMtWYGaYNVf6A3ijVWBGQ
aQDZ02IEVgccLbr4Alf7vgBkqKlfo06W0bZNc9F4jn2k20zrTvZgrk8jcyiTcYJ6mSMEZXWjmAeB
annXcm3F1a3qth5Yb21UKSnkxHS/US76+okMpV2aYBDQ5P/pvD113khGfh8u0WX852SNocD7iKnx
h88RE6Qb4FymbAQ4IdbKr54jJr+iywWB1nI0oHAvibzWJ8i6sNS4K4iaNN1+9dysT3jK4YBD2vXk
cL1Lz00Q4WDkGSrTZEt9S+MFJtUUick4W87OS0+fDyiCv1iULXki7/RlAkfEp2fHiNHgEwot/jcd
N7OzIq2xmuas0kPqIPDqZ45xUekrxSWDQ8xi/ufXU9/Aje13ryje0Ys+oooQREBS35yFeQP1YSOb
N2wk9DIPNb2uzOzDtga6ZgqtvcoEQzUUWJf12F/XSU3JKLT5kABUD0wNYv9Q5PpMqRCZ1Gz/2Mji
z6mtRtO8lO9bKfrh9NLXdEzOM0XV0YlCOwrTR6GNHiMhAikAzQyJkgrfT8T4zGVFcF4AEtQWHj3F
pQs4YQp9LZxYJX0MoLt4CpNqSJ09zZvg0mauSh4G2i9oj6XC5VsK8Up2AQbBkZrpA65BZnfhYldH
Ea2tskw5b33qKhubOBnBkij0jjL05wGN3ZQSRWybfmtH7by3/FWLx9dcqatlUOtLPbcPfeL6xDeJ
qPQ+CTT+cJI11nhlgZBgmmJALb7KCt/khoeipKTFqjB9qb4Yc51/aJIS/kjs6cc13dfTNBkB8FTU
dLRIC+QI7GMTkLWkJ8foixz0EYBrxz2V5Oh0GM0vaFxxLULbnTgarCk1uNMN+T6WMmPeGfpJn+tE
AW3WRvlx7XYgU4YDeFfnMjYDqUtZ2g/HSJkdNzYu3fWYyFPP6I6qVv5SYE6o62jIJOl4Y8R4HLrJ
EJ0GTXqeRjXGbOCGx+hQzuD+9bmJGlNN6lH0UCqqFnEmHaITYLcbYOUojEiyt1CTHH+jpquXsatW
F3ZQDMfxkOFqA2MiThisdWe6b19WTamgkIllou+XCyVPDt04OG9S6aprUV5HHGKS9fHcDhxkH+p7
ywcNp5ghbtDd3GmSBs13ZUYpOdPD4aKG1DYRGpYmqKyubBdA5GYAniaJIs+yLAOIop8nblFAbwLJ
U8dRe9kP/iUSywc4PcwQjPwK8mXaW0Z5ncvQoEJAPqnWspucJcZSANnxS9CBOiLE/yAD2ElhxhU6
LvPcYAcqDDMwsAF98Q7sjnfuB+2JboRYqyXLXjbmsZUiNeoeVVVGKwCVCfJKo5JOKYhnKvIXXBQX
A+IzqOswa9V0d4F222e9rITNdTItBConNeJhFXWYGpYxymaM4oCJS4dRNV5DK0clL66ZX2ZXYSvP
GJqzrZF0mza2unaacB1a9klWxOGkD7F/RC5kwJ+bJN1wW3u1uWb+UyOKodAfgl7wUJbr9xFP/NXP
iCcMWxCvQCrLeMKv/Ix4yieiGdAWDQMWlY7tL9SL8wnNChu0NUN+DW1yHvhcIzqfiHREKYtbkUYA
qhZ/EfFU8dZeRCQRiVCaJBpphvCAcTZE8RfxYdT8xFezAPdpG918NxkZ9SjfMu8eUfAR97ZJiXdT
IEycAuytjrucfy9xBTFxemqKfEGf9TLGAQpuMF17CQ/AyP+alsYSqfNLLbXBQ2IeVVm3lLvISuAq
NeIuVRu0fD1hOKV6zU3ep9cYoxaTxpEpBqgGZnKQ3yLNDftPPTIGgH/4WI0+FwK+VqouMWjqa8jR
6Zy2pAWmNlhVxO5JiCsWcMlVJ2yy9KgWF/staj83Iz5aDn5aAOYTBObUHxI8vKJsPkdIV010PLhK
R1qMeHIFDjcfn2yZO3i5QfalzMFwQnPhYFp4etWgJajJqCdSfWnh+lVWLc4c+IAVHVR5oWJ0MAqT
sM7Vj0I5piPYSSs8HpAHxsYGPQuGGXp/oG68xszLLm8ugW6XNzFuZLGwJTPR1PN8+YsM3hwLcCC0
cn9CHUSd5lnS3MDdrG6R+uvxO9PxPYP5QusbJ7RBuWeO8s3DH22wjQ6wLJZpMNO/RcJELS60k9jS
HzSLa5M+1s1GO6STQWdKXD+1MGPDvsdE3HlYhfi02XY3z/FtayrWzBNWbt2jrVvEwK08rXsgjXPX
CrNlbRAqmScEAzOPXK4PMtv25rUFPlRRa9rgRSaXMIkDHSh0VYGmXcdt0YG0NNQa1qDcJ5Ne6wZ9
ild1OUPp2IfvxOWd63izNAViwJl2l/plMZFclG81XaJjoGb8r465wFjdmW6jT52o+GHT1YRMHs4G
Ii7zdWbvnhFdWmM+HFmadSr5KlhMNecZMuxnyf8a9/ptavcgg/v2CiSJD5IghyZeGPdhXv2AxPow
1lyerRV/9kydraBpJ3JLuRgxly1TKZjjiqLN4QXh/qN5M82JVrpf3tqRUS8QyIrnhmvfDjWgyVxn
Xmda3T2xUSjYUS8NCUz2NKjsqRw63knsSacetuuz1PMOU3Apeo+McMJ+YdCDPPeRmabLMMsvWg21
BFjaN7mOXouJ7SqDrQmUKCS1ZfOLK4hbBv9iK90XbywuAjeeDrpUAdm/TQ0DFNUgZUfI0YzBjEdR
uFnRTCKBQS8Y2JDkV9O47KmCO5NA7xeXSJx6B5HvC6T9KVCOwz7Nf+CtgAwV6BJ5ARyuvPtPXNlA
KnUayH+IK1m83iaJJP7qZ1xB4N7RFDy7zGdc5M+4on5i79oQDE1Yhhvt+2f0gg2biAajDAFR1sBi
vqik4Axp0BGJVTo0SI1A8Rdxhe7i27gClVIILIHdNPAilkXH/EVc0e0kLGEMD2d27ZXnVoiqA0qH
1tcs1tXDoYui20GprYVdt/IJEuLuBJEdf4aAx/jZcrr6ypezmKm0EhxxvblzS6pLMGiFz3hPPo1j
SECtEBc1hMwoPDf+vqXgnCGICrUgQwFcQh6jV0cIkbVfr5Rci0AuyZydFCddeaCJWeZV/y3xfe+Q
LH5EwrYOZ8hpoz+IMD9j7eGzoxZTrEjXg5tYh4AA7EWdSd1RGiGoWmZdP8XM1MWTTD6jrMuQiIhA
WptFNKF0AGWlonLnaDVdp3AU7PEwfMgHpdMv6pShyzh6Ao146/eeCxyxRZ0uPwwxsp72YRodqKOD
IxbR+9xTPHqJA+58WrnQ8/TCyArkY+VaWtamN2KR02iHvg+gP9biI0UqqgNKGGcG9U9fRnGqz1vM
TVemQpxCnYCOYZJTH2XtxViCPM9jCAdYTY8TyYAgGAEtUz3nNNSQLmkHVkdqJP8ygJSEAbGinFWV
itqL1eUHhV8dggr9RqhHwDYGW0ehFc4VHMJ9rxhreFV8YZC6y1ksrMRdPMVDunyDMBnvcRtPNrbj
woC8FVbkPZ7koEkBkskeIzJhWN4hL0PRdoXR2AVOcNok6vul2safVe5c51gXxucYJ5y1hXKe4Ygu
exVOmFC3c9qWvUpb0cI93RU26qYwVAeV5eGQhtyFlSZHFa7rhoH9emV2Vy1eCgxU6AVii6lPsLU+
gwizooG+pGl1HPbOCQCWpa9QQY3C6N106Ym54WLEAT4Z6f+ZeMI7Oj5qo3CJB92Y4xpPjkdvFh95
QhS/wVk+UcvvWsfw0MFzHg/WJcaXN7CmBBouxwUqrxKI7ijQnRYRmv5ThkHNnS5Id8qGf+dm/bHT
pYyzrSSIjhUajA24fkQFcsfVZpZS9seeqQYH/7mMN5exwbTu95fxdZPFTZJuGwXxd8/XMfMeIffE
lasq5PSie/XzOpY/MRHkomZuZ74eBdn4FkHulBXVFOMjDJd/pvkYF/EP3N60tRznL9N8843fiGgD
6bJsos6hOrqubWLCy+tYaQ0anviGnI2Gf0hYgR2XMWWnSzymYYZKIvoToRuf6HkcLeDDr+RGWQZ5
feY3MLLiELs2FfEjSQBmDrsqX0eNfutWHM60PulH5dhz9NXokypEUjZMfcu7pbdzgUpDNDeTBKN2
05zq/gC4IabnOtLhPUqGWJ3EEeMPO6lRxdD8o6bJ7OMUmpPtC45e5siTEbZj6UTfTcQUNFc59+mq
QEyHCeOEXzulFRI25pltgOdVG1L3CAz0GdJD92aWoWyF1gz4X8ucBm2kHCB3cVzX1oHmJtcaiR10
shNQwIKWdN1BpgFy4i0zszkyDTrgWWueGZl1GNcAmxzfuNGY6CKS963zzUXVMiIouW0nnWOfk3bR
6wAI30WnYRcucklxMZfAHQSGPnDyUvriJGWOxVs+k43w2C9HzIPJSUkWmWoZeC4m0agA5nCShRQ6
33qmQ0bbHOvoPZ3mxQUJ8CKB5jlYSJ4b0DK1/nKghMCmGGksGECa4k+Z5n9tdfeLqcsLs2mYsSH6
uqKr/j0YKLMkmSuc2mSi9OHpgLcT3hPNhdy7cIgiM/lc6Af4i9g1wAvuX62w2lNPhpcAv5Pb2Oym
Q9Ne+VRj/G+E+CGqzeoi/dzwNlzC2TQKpH6C/vrSCGTWxlamGSotRcv3EIb4TIayHc+ywUZGZNAu
Axsxnc69p1kG+dc0r/XMvJQol6eI0h872FkC8rWANOVIaQSlfynBazXCWqfrCI+2L8Jr203vKFtn
qZtcYIVzH6blZ89htmiqRofYUmSuclfpSOiZ/3BtelO0uhaaXuO7YsEKxsiatkozGx1BFIjgWbar
SNXiedr0yLigWmUbRj7TTTDNjKW+Zlkyd2BFCmlZn+FhFeCKSSaR9go9nAqfHQnNtcnYA2tDBzA/
waUGWFd06eaNPdXlEGfPAOJx0ON0mDRpA4YJGAdtr2O0rKAnVl8D0zqme3yZtlkwtQIEDiRlHJdJ
ipZs6pbIKA0pO1NTv+VpcWW3fPFG580GYzyVGxenSUmZaa0BacG+bDp31WlIriiue2Axy5wYbHrA
ivaiH6HflQpxTvWiClYZTb6wgCEgjcPa08ZqSrPKm8as6KTG6o6CcyZH5hyQdA6BIAnOGHsvAbEn
8yG6BPKFnSkQaG9cS9Gwrlvz2uvb6yhGRr+3z+HA0IHyIJJ0KpAVLZA+g7pKactZc2EA6A+teQhh
jxmnmARCefYQTxnWfK/DoV4ZQEcJjGhrajNV0h/UvsIXXDrp5TqdQyNI5+Rz64wmwJDXxhRH94Gv
i6oIGRlrMpQZLrBFd5VYXQamvVaWLgmOCKu8nxbj2K5hB/LvP9SYqm4wYncS6WDg7Vi6LBr5oUrY
ErqZBJi2WDd5WZxWMa1wdNEf8pwsAfHuKsR9Ek1ofc5oF0akEi7QdS6PXYU0JNX5tlnxoyLlQ6Ov
1k6bOr3V8TNYZBJ3sBfYaJa3aDqARFm56IWtMgVvcpOeuMPVqEeIkIGsm5LRnYy1f1YJ80iGKCRi
gXaFBUcHABRDoEpeknZf5yN3ZaZcKV6hTrMRLWg5s9YeeVlu+ocqH27WBZS/htzcoLOsTGm1FFi3
A8ssDTZ1VLm3rTnelnVx6Ve6t/JiCTNEpRGEnQg4U3OV2+iplxHfryYBBtbKbtphPTPxkvJ7WFJq
cstnvnPGRbdEHyiZqHp1Ddfhc6TWX8oCmkccNV90Z5RXitopM1lWqSyrEH6x7RtTHPLwufJA7EBW
OSir8Co1teWYQ31yI+W2i8DPOnG4MLB3RcgjEmZJJiNL9XNrXnTV4eh+7YIj3dcuUsbSNAU+h1Jy
E4CRpXFVL5G/xnKW3CqPlWolh+aDwkU/V3rnvA1MjrYO8VgygG5Z5hjQzA3of+n6LHO64yqPL1tH
XVlIsQKqGObjoFzB1jnys2FE7K/5YtXQC+SiPizq09ZEts5g9OBBc2VAEczizAmWKk6zU6MMvijD
uIzjMjxOJa5//DROnMGSFiATo4VW9+FkVDSNTrfNt+Um8y73DhG3kaYVNqa0wzLPKRBl0tQVSoIP
dpD4J11aT3TkYBLD+hJmKABigoGCeV2Mw6niy8HUr/ieLaYM8D9qxqXos3F/Hbr1CIUS/7AzeZTG
lQsa8AAt51M42ra9bvRhWI59r3IfY81M8AgRf/EWiaGcqLlxwG10aAIliWwdK/saXKRU6pi/Wjk3
RFt4E72SVn6hn9Kx8lapLz9og/yAU8x3Qg6IUSwkBlmaJTaAM0oFreY9kp5nMwzVUWXBwd3w/CUY
BejDLjx3JGq+AmJr8ejDSL6jziiYStEUwk+1lYR0gHnksdj5dxTzFN29RKlqJUmdSscc2EiOcljQ
JMoUCbIblp8orsQPeR8etqpnLXJIWmVlLkO7ovuiWekCIAsgAWxF4b8D8FSK7mtaY0Lbx1cCVmjG
xg2S/szIQ+qAMTrodHNRBjHiXEqCMlm/UOoc7Xb9jsv1vCZ9n2LJgiK5WVwi9b/gglOWnU4i7ygV
WoSYRFsjQgYmdaMTJmeWQwcqcn3IQ040zMueliT3foxp5IhDsIn6eg+FKDdxcQkydT1iVILzaofC
DO03pIZOSXK/lmV+3FuxNc0Saa7gm4LN6y2hZdF26mVZtEec3JWlMvUBk3OTjwBvwiA+6RRCbaQc
B2595MbZFyNXvnYu0G8g0V8qtT/JmOtDMHQkJkJQJx3D+wzQJkXEPT4Yg8NSL096z1vknRrNmsC+
8I2cGC2ZN03enow9Ljdp8D3WDZCnoOQrbThGY7RZUYLX87Q3TxLFRngx4SKUEEMwAgYxhr6KMvrR
8njUlJrGfIv6yGRyFnZJcq5Bk8eqwZZAqaKU1/rgt+Em5sBwVfDRSTpM88rS0TMtVxWmzLNSDr9b
HTmM3TfnVl5pS6dss6XnVNVxUjDBLLQOZRDL5lJyKaqB1jtJF5JzujWHy4jtUb82a+nQDKxkafrZ
gUO2Rb2ZayHiy9gGBY/0jf/MXIw/zlw+467VbBu6iD/7WY3ZVE9imoHAtGJtiC3P1dgGmCdQmgZi
4o8IhOfmmP4Jbwic63UdHvCjZ+Tz0EX7RDBXKeE0gTYQ5dNfNMcE7O4X5pWRiyNoR6JMtBSENnTR
OnvRGutlhKDLMgWWJxBoHHkGIYitJv+C3wMQ4v0LGXCtdSCpzHZkXbyRFy+kYPVYmKGekxkazk3k
F5KJfVc8jCubaRUaPnXa6AeAnMcrXAHQcjUV2Lc2tVuehfZhiezukYIZ8iS3SqM/90natSGjSjIH
z6qO2iistG8tiDEbb7uibXGrQwClRS4fAQ8pPuuwBFHmQZ5n6jzr4gbHQQkuwySo3PQr5D5nLqSE
5FmV3hmx3uEyn8dneoPi4VTJEXZYZG6v4RLVTKQYYhBT/y7TzuRWMaLjNg7PyhpkfpIjwuU755oi
PxhVfp8SlNxKvrZATWOhvTQkMyNu8Cno6iOP4C6cBFXS5MAdoKpqURIIAYVZPBQ/fNu/ZHh/qqj5
j0Zrr7AOI+LqZXhrRXgrOl7UnEhWXsJKNczDOKAhBIUTa3K1Il2VtB96WGEy6MI5TOsiFw7mqHLH
kjFXO/uEqcdplVZwV1W7JeUb1WWdWjeDIn2NVRinWejDaaxrT2X+BFaCbUHAB/UZzG1dPKJWEQkx
y5tSr7HPNe3Uv8R+G6lfOj7MwWTUwBAuYhVBhE+qCGamLpXoyWJvWSBJduhLMLZftELO3+Oe1Xfj
Qxhv6FhDVQPSKmCwr7dYMZSF54ExOSUArZG1Va7AR0zQ+kBxIV0h0cggZ54srTnd24lxqC+0ubpy
p9G/2OsbR7pfZwoANq5BollC54NWB/Hs9fsweob6MHSzU1L7wyFG8yzyCpe6hmzEtiJnXrSuwFGY
IOdwdjnxrNI9VPiOzKhA+tgaTh006ya2On6r+8xZVKoLnarOF649frMMTH1Cl5mTO/Zfiji3gKsW
2FhVoTbrOxfVTR8pVjzc54PmLKHqwuWAT4vTMq1AZzVqSFWq6lLXDXjhGF6AUkVCKUlXGK/MMtQl
J0gHzLvOO1ZxyKRCwJ60JctIkrCacYhPu97RloUnRGo078brshU6lieUVjIVZ76UIzaa5RQI6crh
1Z+/4teXiIC2W5RygJZ0h/6RtrG3fnGJOKPaOXnilqdym4RLLgLs60tiuxT4cyNjqqkXHjPynw22
bbuKbtmLG/L9a775NqW+tcoW2+jTwtNu0c5j1OllaGRZKz1pADW4aNWadFMsRoRGDM3b0NPheCzx
9sPu9DgL7K9yUBV4HUk/AAWSzhUnamZeyO54Z3jFt6QLilmB1cJ/NO4ewX8YZPz6BmdrLJgJw/ja
nOJ2+d//ddt834KCEH/zHJAR+IBLq4PaBcWnbJQ3nwMyv2JfyQh/0AkF+A6+/jkgO/zGAZsgtF3e
GHjYaInYoCr4lfAF+TvDS3i9rzYcIZnLywKBwCUmjBuVNxsursta7rNePqvD7CtK5MbSjDTpSJUa
slmMDhm5cOaaFMGAPnKrRYaB8LSu9MMyM1ADT3uOtO4Yx2UJ71y3I+HbZC7brrmK7T4/KUdpmrey
TmPtTgFFNcOdnfkQIhCj2R04rr2gTpJnIHyWTQXsKHXwokRX4aZLy5Ue+Ok1tyz6EHl+h/PDUdbk
N6WCaZ+eoLVtesVdPGDfnlV6SuLerfq87yGdZX56AYt5qYS6fi5p5pFrds687mR3mnSSi1ts2cA5
pWhx67XVeHduYkP8GnCU9VASPUDEO2FyL13W+GCdOzj1ThITXc5YAzLu4lE0c5HrmHoSWuipO9CZ
1SGJOtp9FZik+MWpXQeUJH70NVC16zpz8pkUqg85/n5zd/RuSiDNAcOqBjHySUK1gxLSPayClHGz
v4oc1Pbl8KSCCJek3lE4OtcKshOwG+Fflqp8nVsUgyNfQu3n9TR2XRQ/ayRCmwpDSKv6ane0Oqtc
aHGAGu90+dyOdWXmu8FF4ICWkpLO7g6HARIa9PwfMiNtmdG2PQZHrZh1a2F12ZjM03uDduZYJtXU
YjQemjR0UQDAVx7lQzB6qKaljmqVCP/GVYQ9M3ZZQVrZZ46aD8sYfOSEavkAgKBz4lXlg1q0NC9G
y7uQGhB1Y2DcOYydTotB/REzCzKp5xiC+aHqnFIkekimYijqRlBOa4M2YQoS+tBDdcWno4wUsX3W
SRmWCibdcm/IfqCKT8dAgfBQqqd5lgNE00Yyi4A4ozQZWlOGtAz7lhCkNN/M3P8cRVGD57ozxaeN
iYAKu7DCJGYSMxuYIPP32QLZobjZ94Tip2GCfKin0oVi5z9o6c8bv182IASnKdnJVEZP5sCMi4Pc
TA772pjrnnY2KNEZtAChRAquUc7CL3Ln3hgJxlh1hD6qL1k3Ze0ZvG312M3JpySb9nVRJEKnQb5M
hvpQ7oJlEYWXQYDFahPfdnL5nelvBkAPkZKhak/tMmpmpVDXz+T0xLBZXEOXDttY05emTEBvMCMF
WGEdy4VyR6zXZlU9fMk1tZm0Sr7IK9H0r8diNvTtQeSOMjqH8mkXd9991npuark7Tc2ggP+Sf9XS
/MRB+8u0s0Xoa0wx0C+pZaizJUgkKe4K0IVZxviyOeqHqEAVI45Awhr3tZBULAALJXZ4XLilOg3y
hLEjKQL6sd/ssDiCFHejRONnRaoueH9wdHVj4nQO6jsp6iNqM/PGtps5KBTaBUQDTGEvK0f7NtRO
fubpfgyMVuoPacZKB/SA8N4DyNNGxZXeSA9+Hl3aZmpMc0xN7YmuudWBa/GUsfSNVUJdXLqMU0KN
8j1J1ItQpplgazrS7ErFmDizImwC2cSDHbdT+iVnaKAxrulgpbt+HE16r78IETZAfkW+wzMknG7C
y/8Hte/TWxQhcL6JgBfNQzlcPlQQI6rnmlD89jwL0vo6+3/7j/78oKfYez3kxN71fRKkmFTWZXBX
E3A3b+rg/r//C+QDheXPtOvne9q84T89Il4T2Zt7nq1Zn1QDsL6j4Aoqfsju4yz1nn5NuUCEVsAP
KjiAbH5efo0/X3HLKvz5Az4u55//m99/AhKIX6vwmL7IVL5/vRI858VSbBy2HcCYsPrFD8j9V0sB
fYF7D/1ehd/wWi82yu+2wp8/4Icvgqjddl4EFTA+86HHNRASbq8Wgf2gAk0lK3vcevu3CGIL77wI
Gt5JMo2VN59elUHtbjC0j8fl8aX2cA3eJvObDfov7oVXpwGjKksU/Cq4r83P242g6p/oN2mWqfJ3
e3gaBO98541g4S+o20Ca8AYQP+8WQf0Ei4i9sp9rQKOEd7zzYYDHBAj7aQnEqr66EcSZECRkJmzP
EWQPtwNLQUW481KA1ad4pFGy+XkbIbgc6VFZXKCPF/EeXgyPG/VRWeFn+P6bi0GD9q6oQKd/twhU
+0jVU2ELQav93Ak0o3beCWDB0EmkcbH5EXfny7SJQ0EnxGGdHm/iPdwJu+cKpALiI3IefrMIUEFR
JAcg/pic7eEiPGZyuxwHtB5A/hlMex7vhLfXo7gTUHkzbGVvF2H3OMmdIAi6UPPengNyZrpncI/2
NULCrtr1MkAjRPCrDDqcW8OC4D1rDCwsUVLs5Y2o7BwbcS8VfV+dEerbLYCzs3BPJo16XJ59XYPd
UyUdtp8K8UKnMBc/7/ID+5MKHFi3BAuDn30NkMruJZRKUoidLRo3j7GBkPsqQCrGJ4Nb01Cos/Z5
KdTdrwdcfBiwkSA/tVjeLoWYnAgxIFl93DWPr7h/wVL4rO2YNpnCyZ1QAUft8eftrrAJF45pAk7Y
01tCqC/suAjch2RFzLYYUomft/sBDzsg/FhK7+1G2D1/Nj5pENCoIR5P/7a2I4gDhzni4628f6fh
HW/8r1ssopJiKkpchLixbSNQRPBLmWbcY4K9t+Fi9zNhfuKbppPyHDnZ+q/DBW1ofkdNua/74Sm9
36WUcD7RUCM1gKK/+XlXVKqMxA0F1YB9LSqF3+aOt6NG4kCstM3f9VjoyWF2D2Blb4/D47ezw04g
mdZpMgnZ8seftyFCtBeELyA1xZ7GyacZyQ6LgIoiLRYKRwqrzQ/f96s7gUWA7wY05KmE278Yoe5c
VjGf4wOyBBAOty4C7QXHxLUW/vVzRrWXFeZTHN9lP9BugmaO/9PTfnh3KMij8fcRKLY9PRRPHdHd
FkERF6MFs3/rfsBNlPQaVQAxq9jLnfBOlPXvEyeyBcyiOBG/H1pjCGfTcnvMVPfwZti9lrKwzTId
8+eo9m2zgesR8yyHXsNjermv4VIYiO2YM9CAo/2mo5X0eCi23Ayo1wH6d/Y7kRa2u7stBWNb3dnI
AUMpFz/vunHyJxaKO1LZ16MhAOY7LgK9SMoJtsTTIrDDXmcOJNIUn5Am9vVQCJ2A3RaB9AnhmA2d
5beHArVNBGT2dngtWsk7LgINV6g4OnXjbxaBAT55tBBp27zW/kUKbfdIgSSQxeAaOdbHO+HdcRCX
hvg/OjLiZ18PhVCu23E/kC0DMwfM8DSte7cUMjeDkHTX9nVaJyTod1wEDU17GQeDp97b++YbqYVA
5OPgua+HYvc+g8HBV1FoEG5eT5v+dYygxGaBgDHs7SLsnC0QI4RkJXCOp4HV27Ybowk0I2Xmevta
Ugnp6R2Pw6bEhhXyvAjv7gRihIqktaPv7cW4e7bAvA5XCoOZ3ZtciWkEni1Yxz0vz55eCYJju+NG
QOAJSjGonqfg8HYpOA2oyjDj3tsGg7Z7xoQSOzciwn7PCOA3+wEwA2UW1Oank7d/GZPwdd5xJ+ji
MwrAxu9BPSbOioJ2/ZhS7euh2D1ZIBcAsMBI4mk/bDkUotNC221fMyYhwb/jfkCqTce53DB/N5kR
5EcB7bAeX2sPD8XuZQT9eEvHbEio1YmfdzsBuB/UALpy+5osvOO4/n3rkRjBaAao2++An6Bfmc/Z
1NX7eifsnDYyngLhTFKA+Mbmh731OndWP5ExyPhs7O1O2HkRmMw4tpBapN+2+eGqfb0IMouA3QmS
Zfu6E3ZOGwVLBGl7vudndsDbRVAheAP0YlC3p4vwTovm7+8EmDCgNDTklrdfjIIzhZAzZm17Gx12
zxvptJEaIwf9FCLfHQeiA3o8BoI8e7oTdAq/HfMEofaKywN8ycc7gU3/+k7YlFmIEAhmGa+1f3mC
sXPyTHQA1IlR5nMZ9a6pQD1N6gxF5HFcs69VtVDY3Xk/0IGncSDYqa83AhenBQ4YZPS/vxH+jd3y
k6A89TFv3VCTg4dqG4P5d//BM2X1/e9fcG43zONX/6WgKj+++CMzV/z///OKuaxudvuL3z7v/s0r
Pf3900d8/+KvXuz5cz3/4wqXlnV5hxDBhhv99EYflUv+N0bA5H79ljEshujP/7aFZv0yW/7z0/Ng
m3C0IJv9+qhvONz/9sOT9X1WPj9IML6fuM7smZ0fjr94/fD8nBfP5s3t/OzpOl63fCXV87NePJ8r
cffno9ddvftKme1yq37Aw9O6XP8zzap620twknd+idlD/M9pVm5df6Ljzs+fx//MspLN8/ysF+tP
kNv5+YvyodrmXiHym50fvowf0vT5OS/e+Ecc11WTfM/i+/r94wUDZue3fpDkD2Wwjp8f9evdC0bF
7o9Phy3fqIDl7/zoo4dyy5oLjMDujw5Sb8tFoHzEWT1eR1vuMAHF3fltH6+r6mHbmnzEAT3Oqn/+
N/Ue4odtK/MRR/Rkfc8F/LwOLzbiRxzRk3UZbFuajzii4tnIMm956wJNufPXevKQ3md3wbbbS6Dz
PuD55d3D/fODfq27UEnY/eEZ7/35OS+e/RHH9CTbuiYfcUp5dP1QPgxb3vlHnNTTdb5tt3zEOT19
aNfvc0fMlT7iiJ6Va66ALYvyEUf0PF7fPWzJHcU0e+d9eI6S9LbkTgA0dn74ZUDqWAX3W1ZGYB92
fv7V+q6kJEjrLbFUgG0+4AXSfyYPuIFve4GPOKrCiXlCwF6X91svMsFR+5BPMQsevG0f4iNOrfgQ
C07AXVDdbXuNjzi+4jUOs3XRbItWAnf6Iat03ATVP2ffgyrf9jk+4jD/K+vtTdW7QxXL89H7nKzL
7+ttOYMYqH7ESvEa03j7K3zMwRafAhHD8fnt/gqR+occbH+9tSbUP+RQ/8lpducvOKiiYMiaLQvz
IWf5T26GO793EpNkS4AX7drdd2W9xngzXjfV88Ne7JkPObqizbIlDgu4ys7v/vrBX29bGtHE3f3h
5Pjo/z4/6de6CID27k9vuAm2hHjBDvmAh//R0G3XHflng4Jdn36bxVviiGhG77wuf1Bx/vO73taW
/Tm9eN+sfRY23PZnr3vR4r+4ix/W5f/8HwAAAP//</cx:binary>
              </cx:geoCache>
            </cx:geography>
          </cx:layoutPr>
          <cx:valueColors>
            <cx:minColor>
              <a:schemeClr val="tx2">
                <a:lumMod val="25000"/>
                <a:lumOff val="75000"/>
              </a:schemeClr>
            </cx:minColor>
            <cx:maxColor>
              <a:schemeClr val="tx2">
                <a:lumMod val="75000"/>
                <a:lumOff val="25000"/>
              </a:schemeClr>
            </cx:maxColor>
          </cx:valueColors>
        </cx:series>
      </cx:plotAreaRegion>
    </cx:plotArea>
    <cx:legend pos="t" align="ctr" overlay="0">
      <cx:spPr>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https://chandoo.org/wp/" TargetMode="Externa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hyperlink" Target="https://chandoo.org/wp/excel-school-progra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1508760</xdr:colOff>
      <xdr:row>0</xdr:row>
      <xdr:rowOff>15240</xdr:rowOff>
    </xdr:from>
    <xdr:to>
      <xdr:col>24</xdr:col>
      <xdr:colOff>594360</xdr:colOff>
      <xdr:row>43</xdr:row>
      <xdr:rowOff>15240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1737360" y="15240"/>
          <a:ext cx="13258800" cy="7863840"/>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22860</xdr:colOff>
      <xdr:row>43</xdr:row>
      <xdr:rowOff>0</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1775460" cy="7863840"/>
        </a:xfrm>
        <a:prstGeom prst="rect">
          <a:avLst/>
        </a:prstGeom>
        <a:solidFill>
          <a:schemeClr val="accent5">
            <a:lumMod val="50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160020</xdr:colOff>
      <xdr:row>1</xdr:row>
      <xdr:rowOff>165382</xdr:rowOff>
    </xdr:from>
    <xdr:to>
      <xdr:col>1</xdr:col>
      <xdr:colOff>1173480</xdr:colOff>
      <xdr:row>4</xdr:row>
      <xdr:rowOff>0</xdr:rowOff>
    </xdr:to>
    <xdr:sp macro="" textlink="Pivot_table!H5">
      <xdr:nvSpPr>
        <xdr:cNvPr id="5" name="TextBox 4">
          <a:extLst>
            <a:ext uri="{FF2B5EF4-FFF2-40B4-BE49-F238E27FC236}">
              <a16:creationId xmlns:a16="http://schemas.microsoft.com/office/drawing/2014/main" id="{E8427F01-9F3B-A9EE-6345-5622682AEECA}"/>
            </a:ext>
          </a:extLst>
        </xdr:cNvPr>
        <xdr:cNvSpPr txBox="1"/>
      </xdr:nvSpPr>
      <xdr:spPr>
        <a:xfrm>
          <a:off x="388620" y="348262"/>
          <a:ext cx="1013460" cy="383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5AA31D-A68D-49E6-B610-8A5C83AD722D}" type="TxLink">
            <a:rPr lang="en-US" sz="1000" b="1" i="0" u="none" strike="noStrike">
              <a:solidFill>
                <a:schemeClr val="bg1"/>
              </a:solidFill>
              <a:latin typeface="Bookman Old Style" panose="02050604050505020204" pitchFamily="18" charset="0"/>
            </a:rPr>
            <a:pPr algn="ctr"/>
            <a:t>2,400</a:t>
          </a:fld>
          <a:endParaRPr lang="en-IN" sz="1000" b="1">
            <a:solidFill>
              <a:schemeClr val="bg1"/>
            </a:solidFill>
            <a:latin typeface="Bookman Old Style" panose="02050604050505020204" pitchFamily="18" charset="0"/>
          </a:endParaRPr>
        </a:p>
      </xdr:txBody>
    </xdr:sp>
    <xdr:clientData/>
  </xdr:twoCellAnchor>
  <xdr:twoCellAnchor>
    <xdr:from>
      <xdr:col>1</xdr:col>
      <xdr:colOff>236220</xdr:colOff>
      <xdr:row>4</xdr:row>
      <xdr:rowOff>153246</xdr:rowOff>
    </xdr:from>
    <xdr:to>
      <xdr:col>1</xdr:col>
      <xdr:colOff>1097280</xdr:colOff>
      <xdr:row>7</xdr:row>
      <xdr:rowOff>22860</xdr:rowOff>
    </xdr:to>
    <xdr:sp macro="" textlink="Pivot_table!L5">
      <xdr:nvSpPr>
        <xdr:cNvPr id="7" name="TextBox 6">
          <a:extLst>
            <a:ext uri="{FF2B5EF4-FFF2-40B4-BE49-F238E27FC236}">
              <a16:creationId xmlns:a16="http://schemas.microsoft.com/office/drawing/2014/main" id="{8BBDF706-B33A-4919-AF07-2F1F70FCBE37}"/>
            </a:ext>
          </a:extLst>
        </xdr:cNvPr>
        <xdr:cNvSpPr txBox="1"/>
      </xdr:nvSpPr>
      <xdr:spPr>
        <a:xfrm>
          <a:off x="464820" y="884766"/>
          <a:ext cx="861060" cy="418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3C3B22-F797-42D5-9938-9142ACA42CC8}" type="TxLink">
            <a:rPr lang="en-US" sz="1000" b="1" i="0" u="none" strike="noStrike">
              <a:solidFill>
                <a:schemeClr val="bg1"/>
              </a:solidFill>
              <a:latin typeface="Bookman Old Style" panose="02050604050505020204" pitchFamily="18" charset="0"/>
            </a:rPr>
            <a:pPr algn="ctr"/>
            <a:t>$649.0k</a:t>
          </a:fld>
          <a:endParaRPr lang="en-IN" sz="1000" b="1">
            <a:solidFill>
              <a:schemeClr val="bg1"/>
            </a:solidFill>
            <a:latin typeface="Bookman Old Style" panose="02050604050505020204" pitchFamily="18" charset="0"/>
          </a:endParaRPr>
        </a:p>
      </xdr:txBody>
    </xdr:sp>
    <xdr:clientData/>
  </xdr:twoCellAnchor>
  <xdr:twoCellAnchor>
    <xdr:from>
      <xdr:col>1</xdr:col>
      <xdr:colOff>171450</xdr:colOff>
      <xdr:row>8</xdr:row>
      <xdr:rowOff>118250</xdr:rowOff>
    </xdr:from>
    <xdr:to>
      <xdr:col>1</xdr:col>
      <xdr:colOff>1131570</xdr:colOff>
      <xdr:row>10</xdr:row>
      <xdr:rowOff>91440</xdr:rowOff>
    </xdr:to>
    <xdr:sp macro="" textlink="Pivot_table!K5">
      <xdr:nvSpPr>
        <xdr:cNvPr id="8" name="TextBox 7">
          <a:extLst>
            <a:ext uri="{FF2B5EF4-FFF2-40B4-BE49-F238E27FC236}">
              <a16:creationId xmlns:a16="http://schemas.microsoft.com/office/drawing/2014/main" id="{5BB316D0-5296-4FC5-B781-1354550AA160}"/>
            </a:ext>
          </a:extLst>
        </xdr:cNvPr>
        <xdr:cNvSpPr txBox="1"/>
      </xdr:nvSpPr>
      <xdr:spPr>
        <a:xfrm>
          <a:off x="400050" y="1581290"/>
          <a:ext cx="960120" cy="33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B0752B-D9A5-4DD6-814D-58963C5AD3BC}" type="TxLink">
            <a:rPr lang="en-US" sz="1000" b="1" i="0" u="none" strike="noStrike">
              <a:solidFill>
                <a:schemeClr val="bg1"/>
              </a:solidFill>
              <a:latin typeface="Bookman Old Style" panose="02050604050505020204" pitchFamily="18" charset="0"/>
            </a:rPr>
            <a:pPr algn="ctr"/>
            <a:t>11,997</a:t>
          </a:fld>
          <a:endParaRPr lang="en-US" sz="1000" b="1" i="0" u="none" strike="noStrike">
            <a:solidFill>
              <a:schemeClr val="bg1"/>
            </a:solidFill>
            <a:latin typeface="Bookman Old Style" panose="02050604050505020204" pitchFamily="18" charset="0"/>
          </a:endParaRPr>
        </a:p>
      </xdr:txBody>
    </xdr:sp>
    <xdr:clientData/>
  </xdr:twoCellAnchor>
  <xdr:twoCellAnchor>
    <xdr:from>
      <xdr:col>1</xdr:col>
      <xdr:colOff>342900</xdr:colOff>
      <xdr:row>15</xdr:row>
      <xdr:rowOff>152400</xdr:rowOff>
    </xdr:from>
    <xdr:to>
      <xdr:col>1</xdr:col>
      <xdr:colOff>929640</xdr:colOff>
      <xdr:row>17</xdr:row>
      <xdr:rowOff>152400</xdr:rowOff>
    </xdr:to>
    <xdr:sp macro="" textlink="Pivot_table!J5">
      <xdr:nvSpPr>
        <xdr:cNvPr id="9" name="TextBox 8">
          <a:extLst>
            <a:ext uri="{FF2B5EF4-FFF2-40B4-BE49-F238E27FC236}">
              <a16:creationId xmlns:a16="http://schemas.microsoft.com/office/drawing/2014/main" id="{3B7DAAC7-B1BE-4788-9B02-76536C4F873B}"/>
            </a:ext>
          </a:extLst>
        </xdr:cNvPr>
        <xdr:cNvSpPr txBox="1"/>
      </xdr:nvSpPr>
      <xdr:spPr>
        <a:xfrm>
          <a:off x="571500" y="2895600"/>
          <a:ext cx="5867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D7A53B-F6FE-43D8-9024-2D20FAEBC7FD}" type="TxLink">
            <a:rPr lang="en-US" sz="1000" b="1" i="0" u="none" strike="noStrike">
              <a:solidFill>
                <a:schemeClr val="bg1"/>
              </a:solidFill>
              <a:latin typeface="Bookman Old Style" panose="02050604050505020204" pitchFamily="18" charset="0"/>
            </a:rPr>
            <a:pPr algn="ctr"/>
            <a:t>4.0</a:t>
          </a:fld>
          <a:endParaRPr lang="en-IN" sz="1000" b="1">
            <a:solidFill>
              <a:schemeClr val="bg1"/>
            </a:solidFill>
            <a:latin typeface="Bookman Old Style" panose="02050604050505020204" pitchFamily="18" charset="0"/>
          </a:endParaRPr>
        </a:p>
      </xdr:txBody>
    </xdr:sp>
    <xdr:clientData/>
  </xdr:twoCellAnchor>
  <xdr:twoCellAnchor>
    <xdr:from>
      <xdr:col>1</xdr:col>
      <xdr:colOff>304800</xdr:colOff>
      <xdr:row>12</xdr:row>
      <xdr:rowOff>57856</xdr:rowOff>
    </xdr:from>
    <xdr:to>
      <xdr:col>1</xdr:col>
      <xdr:colOff>1028700</xdr:colOff>
      <xdr:row>14</xdr:row>
      <xdr:rowOff>15240</xdr:rowOff>
    </xdr:to>
    <xdr:sp macro="" textlink="Pivot_table!I5">
      <xdr:nvSpPr>
        <xdr:cNvPr id="10" name="TextBox 9">
          <a:extLst>
            <a:ext uri="{FF2B5EF4-FFF2-40B4-BE49-F238E27FC236}">
              <a16:creationId xmlns:a16="http://schemas.microsoft.com/office/drawing/2014/main" id="{0A39E993-396D-44B0-A50E-3682AC9D69B0}"/>
            </a:ext>
          </a:extLst>
        </xdr:cNvPr>
        <xdr:cNvSpPr txBox="1"/>
      </xdr:nvSpPr>
      <xdr:spPr>
        <a:xfrm>
          <a:off x="533400" y="2252416"/>
          <a:ext cx="723900" cy="323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563D6D-387D-478E-BF3D-CADD0F83DCD6}" type="TxLink">
            <a:rPr lang="en-US" sz="1000" b="1" i="0" u="none" strike="noStrike">
              <a:solidFill>
                <a:schemeClr val="bg1"/>
              </a:solidFill>
              <a:latin typeface="Bookman Old Style" panose="02050604050505020204" pitchFamily="18" charset="0"/>
            </a:rPr>
            <a:pPr algn="ctr"/>
            <a:t>2.3</a:t>
          </a:fld>
          <a:endParaRPr lang="en-IN" sz="1000" b="1">
            <a:solidFill>
              <a:schemeClr val="bg1"/>
            </a:solidFill>
            <a:latin typeface="Bookman Old Style" panose="02050604050505020204" pitchFamily="18" charset="0"/>
          </a:endParaRPr>
        </a:p>
      </xdr:txBody>
    </xdr:sp>
    <xdr:clientData/>
  </xdr:twoCellAnchor>
  <xdr:twoCellAnchor>
    <xdr:from>
      <xdr:col>1</xdr:col>
      <xdr:colOff>80010</xdr:colOff>
      <xdr:row>0</xdr:row>
      <xdr:rowOff>167640</xdr:rowOff>
    </xdr:from>
    <xdr:to>
      <xdr:col>1</xdr:col>
      <xdr:colOff>1188720</xdr:colOff>
      <xdr:row>2</xdr:row>
      <xdr:rowOff>68580</xdr:rowOff>
    </xdr:to>
    <xdr:sp macro="" textlink="">
      <xdr:nvSpPr>
        <xdr:cNvPr id="11" name="TextBox 10">
          <a:extLst>
            <a:ext uri="{FF2B5EF4-FFF2-40B4-BE49-F238E27FC236}">
              <a16:creationId xmlns:a16="http://schemas.microsoft.com/office/drawing/2014/main" id="{C2C1AC0C-D393-9EF9-4765-54036DEC583D}"/>
            </a:ext>
          </a:extLst>
        </xdr:cNvPr>
        <xdr:cNvSpPr txBox="1"/>
      </xdr:nvSpPr>
      <xdr:spPr>
        <a:xfrm>
          <a:off x="308610" y="167640"/>
          <a:ext cx="110871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Bookman Old Style" panose="02050604050505020204" pitchFamily="18" charset="0"/>
            </a:rPr>
            <a:t>🛒 </a:t>
          </a:r>
          <a:r>
            <a:rPr lang="en-IN" sz="1000" b="1">
              <a:solidFill>
                <a:schemeClr val="bg1"/>
              </a:solidFill>
              <a:latin typeface="Bookman Old Style" panose="02050604050505020204" pitchFamily="18" charset="0"/>
            </a:rPr>
            <a:t>ORDERS</a:t>
          </a:r>
        </a:p>
      </xdr:txBody>
    </xdr:sp>
    <xdr:clientData/>
  </xdr:twoCellAnchor>
  <xdr:twoCellAnchor>
    <xdr:from>
      <xdr:col>1</xdr:col>
      <xdr:colOff>34290</xdr:colOff>
      <xdr:row>4</xdr:row>
      <xdr:rowOff>3104</xdr:rowOff>
    </xdr:from>
    <xdr:to>
      <xdr:col>1</xdr:col>
      <xdr:colOff>1196340</xdr:colOff>
      <xdr:row>5</xdr:row>
      <xdr:rowOff>99060</xdr:rowOff>
    </xdr:to>
    <xdr:sp macro="" textlink="">
      <xdr:nvSpPr>
        <xdr:cNvPr id="13" name="TextBox 12">
          <a:extLst>
            <a:ext uri="{FF2B5EF4-FFF2-40B4-BE49-F238E27FC236}">
              <a16:creationId xmlns:a16="http://schemas.microsoft.com/office/drawing/2014/main" id="{76370724-46AC-4964-BAF1-C0FF11F5074F}"/>
            </a:ext>
          </a:extLst>
        </xdr:cNvPr>
        <xdr:cNvSpPr txBox="1"/>
      </xdr:nvSpPr>
      <xdr:spPr>
        <a:xfrm>
          <a:off x="262890" y="734624"/>
          <a:ext cx="1162050" cy="27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Bookman Old Style" panose="02050604050505020204" pitchFamily="18" charset="0"/>
            </a:rPr>
            <a:t>💵 </a:t>
          </a:r>
          <a:r>
            <a:rPr lang="en-IN" sz="1000" b="1">
              <a:solidFill>
                <a:schemeClr val="bg1"/>
              </a:solidFill>
              <a:latin typeface="Bookman Old Style" panose="02050604050505020204" pitchFamily="18" charset="0"/>
            </a:rPr>
            <a:t>AMOUNT</a:t>
          </a:r>
        </a:p>
      </xdr:txBody>
    </xdr:sp>
    <xdr:clientData/>
  </xdr:twoCellAnchor>
  <xdr:twoCellAnchor>
    <xdr:from>
      <xdr:col>0</xdr:col>
      <xdr:colOff>205740</xdr:colOff>
      <xdr:row>7</xdr:row>
      <xdr:rowOff>74788</xdr:rowOff>
    </xdr:from>
    <xdr:to>
      <xdr:col>1</xdr:col>
      <xdr:colOff>1249680</xdr:colOff>
      <xdr:row>9</xdr:row>
      <xdr:rowOff>60960</xdr:rowOff>
    </xdr:to>
    <xdr:sp macro="" textlink="">
      <xdr:nvSpPr>
        <xdr:cNvPr id="14" name="TextBox 13">
          <a:extLst>
            <a:ext uri="{FF2B5EF4-FFF2-40B4-BE49-F238E27FC236}">
              <a16:creationId xmlns:a16="http://schemas.microsoft.com/office/drawing/2014/main" id="{46DD2D33-4FD2-4CCA-A91A-FAF4170AA0BA}"/>
            </a:ext>
          </a:extLst>
        </xdr:cNvPr>
        <xdr:cNvSpPr txBox="1"/>
      </xdr:nvSpPr>
      <xdr:spPr>
        <a:xfrm>
          <a:off x="205740" y="1354948"/>
          <a:ext cx="1272540" cy="35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Bookman Old Style" panose="02050604050505020204" pitchFamily="18" charset="0"/>
            </a:rPr>
            <a:t>🛍️ </a:t>
          </a:r>
          <a:r>
            <a:rPr lang="en-IN" sz="1000" b="1">
              <a:solidFill>
                <a:schemeClr val="bg1"/>
              </a:solidFill>
              <a:latin typeface="Bookman Old Style" panose="02050604050505020204" pitchFamily="18" charset="0"/>
            </a:rPr>
            <a:t>QUANTITY</a:t>
          </a:r>
        </a:p>
      </xdr:txBody>
    </xdr:sp>
    <xdr:clientData/>
  </xdr:twoCellAnchor>
  <xdr:twoCellAnchor>
    <xdr:from>
      <xdr:col>0</xdr:col>
      <xdr:colOff>68580</xdr:colOff>
      <xdr:row>10</xdr:row>
      <xdr:rowOff>146472</xdr:rowOff>
    </xdr:from>
    <xdr:to>
      <xdr:col>1</xdr:col>
      <xdr:colOff>1493520</xdr:colOff>
      <xdr:row>13</xdr:row>
      <xdr:rowOff>0</xdr:rowOff>
    </xdr:to>
    <xdr:sp macro="" textlink="">
      <xdr:nvSpPr>
        <xdr:cNvPr id="15" name="TextBox 14">
          <a:extLst>
            <a:ext uri="{FF2B5EF4-FFF2-40B4-BE49-F238E27FC236}">
              <a16:creationId xmlns:a16="http://schemas.microsoft.com/office/drawing/2014/main" id="{411E7F30-AA3E-4B95-AEB5-27B020968638}"/>
            </a:ext>
          </a:extLst>
        </xdr:cNvPr>
        <xdr:cNvSpPr txBox="1"/>
      </xdr:nvSpPr>
      <xdr:spPr>
        <a:xfrm>
          <a:off x="68580" y="1975272"/>
          <a:ext cx="1653540" cy="4021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Bookman Old Style" panose="02050604050505020204" pitchFamily="18" charset="0"/>
            </a:rPr>
            <a:t>📦 </a:t>
          </a:r>
          <a:r>
            <a:rPr lang="en-IN" sz="1000" b="1">
              <a:solidFill>
                <a:schemeClr val="bg1"/>
              </a:solidFill>
              <a:latin typeface="Bookman Old Style" panose="02050604050505020204" pitchFamily="18" charset="0"/>
            </a:rPr>
            <a:t>DAYS</a:t>
          </a:r>
          <a:r>
            <a:rPr lang="en-IN" sz="1000" b="1" baseline="0">
              <a:solidFill>
                <a:schemeClr val="bg1"/>
              </a:solidFill>
              <a:latin typeface="Bookman Old Style" panose="02050604050505020204" pitchFamily="18" charset="0"/>
            </a:rPr>
            <a:t> TO DELIVER</a:t>
          </a:r>
          <a:endParaRPr lang="en-IN" sz="1000" b="1">
            <a:solidFill>
              <a:schemeClr val="bg1"/>
            </a:solidFill>
            <a:latin typeface="Bookman Old Style" panose="02050604050505020204" pitchFamily="18" charset="0"/>
          </a:endParaRPr>
        </a:p>
      </xdr:txBody>
    </xdr:sp>
    <xdr:clientData/>
  </xdr:twoCellAnchor>
  <xdr:twoCellAnchor>
    <xdr:from>
      <xdr:col>0</xdr:col>
      <xdr:colOff>175260</xdr:colOff>
      <xdr:row>14</xdr:row>
      <xdr:rowOff>169898</xdr:rowOff>
    </xdr:from>
    <xdr:to>
      <xdr:col>1</xdr:col>
      <xdr:colOff>1272540</xdr:colOff>
      <xdr:row>16</xdr:row>
      <xdr:rowOff>68580</xdr:rowOff>
    </xdr:to>
    <xdr:sp macro="" textlink="">
      <xdr:nvSpPr>
        <xdr:cNvPr id="16" name="TextBox 15">
          <a:extLst>
            <a:ext uri="{FF2B5EF4-FFF2-40B4-BE49-F238E27FC236}">
              <a16:creationId xmlns:a16="http://schemas.microsoft.com/office/drawing/2014/main" id="{B8B35E26-3BEC-4266-A629-138D84EB4852}"/>
            </a:ext>
          </a:extLst>
        </xdr:cNvPr>
        <xdr:cNvSpPr txBox="1"/>
      </xdr:nvSpPr>
      <xdr:spPr>
        <a:xfrm>
          <a:off x="175260" y="2730218"/>
          <a:ext cx="1325880" cy="264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bg1"/>
              </a:solidFill>
              <a:latin typeface="Bookman Old Style" panose="02050604050505020204" pitchFamily="18" charset="0"/>
            </a:rPr>
            <a:t>⭐</a:t>
          </a:r>
          <a:r>
            <a:rPr lang="en-IN" sz="1000" b="1">
              <a:solidFill>
                <a:schemeClr val="bg1"/>
              </a:solidFill>
              <a:latin typeface="Bookman Old Style" panose="02050604050505020204" pitchFamily="18" charset="0"/>
            </a:rPr>
            <a:t>AVG.</a:t>
          </a:r>
          <a:r>
            <a:rPr lang="en-IN" sz="1000" b="1" baseline="0">
              <a:solidFill>
                <a:schemeClr val="bg1"/>
              </a:solidFill>
              <a:latin typeface="Bookman Old Style" panose="02050604050505020204" pitchFamily="18" charset="0"/>
            </a:rPr>
            <a:t> RATING</a:t>
          </a:r>
          <a:endParaRPr lang="en-IN" sz="1000" b="1">
            <a:solidFill>
              <a:schemeClr val="bg1"/>
            </a:solidFill>
            <a:latin typeface="Bookman Old Style" panose="02050604050505020204" pitchFamily="18" charset="0"/>
          </a:endParaRPr>
        </a:p>
      </xdr:txBody>
    </xdr:sp>
    <xdr:clientData/>
  </xdr:twoCellAnchor>
  <xdr:twoCellAnchor>
    <xdr:from>
      <xdr:col>2</xdr:col>
      <xdr:colOff>106680</xdr:colOff>
      <xdr:row>0</xdr:row>
      <xdr:rowOff>83820</xdr:rowOff>
    </xdr:from>
    <xdr:to>
      <xdr:col>9</xdr:col>
      <xdr:colOff>563880</xdr:colOff>
      <xdr:row>11</xdr:row>
      <xdr:rowOff>45720</xdr:rowOff>
    </xdr:to>
    <xdr:graphicFrame macro="">
      <xdr:nvGraphicFramePr>
        <xdr:cNvPr id="6" name="Chart 5">
          <a:extLst>
            <a:ext uri="{FF2B5EF4-FFF2-40B4-BE49-F238E27FC236}">
              <a16:creationId xmlns:a16="http://schemas.microsoft.com/office/drawing/2014/main" id="{68B5FA31-6398-44DC-907A-809954AD0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144780</xdr:colOff>
          <xdr:row>3</xdr:row>
          <xdr:rowOff>30480</xdr:rowOff>
        </xdr:from>
        <xdr:to>
          <xdr:col>16</xdr:col>
          <xdr:colOff>106680</xdr:colOff>
          <xdr:row>10</xdr:row>
          <xdr:rowOff>144780</xdr:rowOff>
        </xdr:to>
        <xdr:pic>
          <xdr:nvPicPr>
            <xdr:cNvPr id="20" name="Picture 19">
              <a:extLst>
                <a:ext uri="{FF2B5EF4-FFF2-40B4-BE49-F238E27FC236}">
                  <a16:creationId xmlns:a16="http://schemas.microsoft.com/office/drawing/2014/main" id="{F9CADE25-FC7E-BF56-CF9D-D77666D23035}"/>
                </a:ext>
              </a:extLst>
            </xdr:cNvPr>
            <xdr:cNvPicPr>
              <a:picLocks noChangeAspect="1" noChangeArrowheads="1"/>
              <a:extLst>
                <a:ext uri="{84589F7E-364E-4C9E-8A38-B11213B215E9}">
                  <a14:cameraTool cellRange="Sheet1!$J$6:$N$11" spid="_x0000_s1045"/>
                </a:ext>
              </a:extLst>
            </xdr:cNvPicPr>
          </xdr:nvPicPr>
          <xdr:blipFill>
            <a:blip xmlns:r="http://schemas.openxmlformats.org/officeDocument/2006/relationships" r:embed="rId2"/>
            <a:srcRect/>
            <a:stretch>
              <a:fillRect/>
            </a:stretch>
          </xdr:blipFill>
          <xdr:spPr bwMode="auto">
            <a:xfrm>
              <a:off x="6012180" y="579120"/>
              <a:ext cx="3619500" cy="13944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16</xdr:col>
      <xdr:colOff>274320</xdr:colOff>
      <xdr:row>0</xdr:row>
      <xdr:rowOff>83820</xdr:rowOff>
    </xdr:from>
    <xdr:to>
      <xdr:col>23</xdr:col>
      <xdr:colOff>30480</xdr:colOff>
      <xdr:row>11</xdr:row>
      <xdr:rowOff>53340</xdr:rowOff>
    </xdr:to>
    <xdr:graphicFrame macro="">
      <xdr:nvGraphicFramePr>
        <xdr:cNvPr id="12" name="Chart 11">
          <a:extLst>
            <a:ext uri="{FF2B5EF4-FFF2-40B4-BE49-F238E27FC236}">
              <a16:creationId xmlns:a16="http://schemas.microsoft.com/office/drawing/2014/main" id="{EACF1AF5-9317-4B0E-8D20-D868844D3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99060</xdr:colOff>
      <xdr:row>12</xdr:row>
      <xdr:rowOff>83820</xdr:rowOff>
    </xdr:from>
    <xdr:to>
      <xdr:col>10</xdr:col>
      <xdr:colOff>434340</xdr:colOff>
      <xdr:row>36</xdr:row>
      <xdr:rowOff>129540</xdr:rowOff>
    </xdr:to>
    <xdr:graphicFrame macro="">
      <xdr:nvGraphicFramePr>
        <xdr:cNvPr id="17" name="Chart 16">
          <a:extLst>
            <a:ext uri="{FF2B5EF4-FFF2-40B4-BE49-F238E27FC236}">
              <a16:creationId xmlns:a16="http://schemas.microsoft.com/office/drawing/2014/main" id="{4464168E-6997-4436-A208-742A91EB7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472440</xdr:colOff>
      <xdr:row>25</xdr:row>
      <xdr:rowOff>152400</xdr:rowOff>
    </xdr:from>
    <xdr:to>
      <xdr:col>8</xdr:col>
      <xdr:colOff>411480</xdr:colOff>
      <xdr:row>35</xdr:row>
      <xdr:rowOff>53340</xdr:rowOff>
    </xdr:to>
    <xdr:graphicFrame macro="">
      <xdr:nvGraphicFramePr>
        <xdr:cNvPr id="18" name="Chart 17">
          <a:extLst>
            <a:ext uri="{FF2B5EF4-FFF2-40B4-BE49-F238E27FC236}">
              <a16:creationId xmlns:a16="http://schemas.microsoft.com/office/drawing/2014/main" id="{F3BA6405-B66A-4B74-873F-7786222DA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548640</xdr:colOff>
      <xdr:row>12</xdr:row>
      <xdr:rowOff>53340</xdr:rowOff>
    </xdr:from>
    <xdr:to>
      <xdr:col>17</xdr:col>
      <xdr:colOff>495300</xdr:colOff>
      <xdr:row>36</xdr:row>
      <xdr:rowOff>129540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B1548E43-7888-4633-BF33-D5850D288E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16040" y="2247900"/>
              <a:ext cx="4213860" cy="4465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251460</xdr:colOff>
      <xdr:row>17</xdr:row>
      <xdr:rowOff>30480</xdr:rowOff>
    </xdr:from>
    <xdr:to>
      <xdr:col>17</xdr:col>
      <xdr:colOff>266700</xdr:colOff>
      <xdr:row>26</xdr:row>
      <xdr:rowOff>129540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63305637-057E-4EBB-A067-7F3D169315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557260" y="3139440"/>
              <a:ext cx="1844040" cy="1744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15240</xdr:colOff>
      <xdr:row>12</xdr:row>
      <xdr:rowOff>0</xdr:rowOff>
    </xdr:from>
    <xdr:to>
      <xdr:col>23</xdr:col>
      <xdr:colOff>266700</xdr:colOff>
      <xdr:row>25</xdr:row>
      <xdr:rowOff>53340</xdr:rowOff>
    </xdr:to>
    <xdr:graphicFrame macro="">
      <xdr:nvGraphicFramePr>
        <xdr:cNvPr id="23" name="Chart 22">
          <a:extLst>
            <a:ext uri="{FF2B5EF4-FFF2-40B4-BE49-F238E27FC236}">
              <a16:creationId xmlns:a16="http://schemas.microsoft.com/office/drawing/2014/main" id="{8F8BA155-534E-4BC8-8DC8-5DD655DED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53340</xdr:colOff>
      <xdr:row>25</xdr:row>
      <xdr:rowOff>167640</xdr:rowOff>
    </xdr:from>
    <xdr:to>
      <xdr:col>23</xdr:col>
      <xdr:colOff>297180</xdr:colOff>
      <xdr:row>36</xdr:row>
      <xdr:rowOff>76200</xdr:rowOff>
    </xdr:to>
    <xdr:graphicFrame macro="">
      <xdr:nvGraphicFramePr>
        <xdr:cNvPr id="24" name="Chart 23">
          <a:extLst>
            <a:ext uri="{FF2B5EF4-FFF2-40B4-BE49-F238E27FC236}">
              <a16:creationId xmlns:a16="http://schemas.microsoft.com/office/drawing/2014/main" id="{DB28655D-B861-40DF-9C15-0BABC2164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152400</xdr:colOff>
      <xdr:row>18</xdr:row>
      <xdr:rowOff>121920</xdr:rowOff>
    </xdr:from>
    <xdr:to>
      <xdr:col>1</xdr:col>
      <xdr:colOff>1363980</xdr:colOff>
      <xdr:row>27</xdr:row>
      <xdr:rowOff>152400</xdr:rowOff>
    </xdr:to>
    <mc:AlternateContent xmlns:mc="http://schemas.openxmlformats.org/markup-compatibility/2006">
      <mc:Choice xmlns:a14="http://schemas.microsoft.com/office/drawing/2010/main" Requires="a14">
        <xdr:graphicFrame macro="">
          <xdr:nvGraphicFramePr>
            <xdr:cNvPr id="25" name="Order Mode">
              <a:extLst>
                <a:ext uri="{FF2B5EF4-FFF2-40B4-BE49-F238E27FC236}">
                  <a16:creationId xmlns:a16="http://schemas.microsoft.com/office/drawing/2014/main" id="{8A5FB379-5041-44F9-A05B-1C3DB9DAE6C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52400" y="3413760"/>
              <a:ext cx="144018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28</xdr:row>
      <xdr:rowOff>152400</xdr:rowOff>
    </xdr:from>
    <xdr:to>
      <xdr:col>1</xdr:col>
      <xdr:colOff>1399800</xdr:colOff>
      <xdr:row>36</xdr:row>
      <xdr:rowOff>57360</xdr:rowOff>
    </xdr:to>
    <mc:AlternateContent xmlns:mc="http://schemas.openxmlformats.org/markup-compatibility/2006">
      <mc:Choice xmlns:a14="http://schemas.microsoft.com/office/drawing/2010/main" Requires="a14">
        <xdr:graphicFrame macro="">
          <xdr:nvGraphicFramePr>
            <xdr:cNvPr id="26" name="Gender Value">
              <a:extLst>
                <a:ext uri="{FF2B5EF4-FFF2-40B4-BE49-F238E27FC236}">
                  <a16:creationId xmlns:a16="http://schemas.microsoft.com/office/drawing/2014/main" id="{5F9AFCB0-22ED-4C2F-A0F7-54287A1C9687}"/>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52400" y="5273040"/>
              <a:ext cx="1476000" cy="13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198120</xdr:colOff>
      <xdr:row>0</xdr:row>
      <xdr:rowOff>129540</xdr:rowOff>
    </xdr:from>
    <xdr:to>
      <xdr:col>15</xdr:col>
      <xdr:colOff>281940</xdr:colOff>
      <xdr:row>2</xdr:row>
      <xdr:rowOff>83820</xdr:rowOff>
    </xdr:to>
    <xdr:sp macro="" textlink="">
      <xdr:nvSpPr>
        <xdr:cNvPr id="27" name="TextBox 26">
          <a:extLst>
            <a:ext uri="{FF2B5EF4-FFF2-40B4-BE49-F238E27FC236}">
              <a16:creationId xmlns:a16="http://schemas.microsoft.com/office/drawing/2014/main" id="{B30E9F90-DCE3-CDC1-FB4C-D5CCEF8A4F85}"/>
            </a:ext>
          </a:extLst>
        </xdr:cNvPr>
        <xdr:cNvSpPr txBox="1"/>
      </xdr:nvSpPr>
      <xdr:spPr>
        <a:xfrm>
          <a:off x="5455920" y="129540"/>
          <a:ext cx="37414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t>                              How they like to buy?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4</xdr:col>
      <xdr:colOff>324130</xdr:colOff>
      <xdr:row>3</xdr:row>
      <xdr:rowOff>76322</xdr:rowOff>
    </xdr:to>
    <xdr:pic>
      <xdr:nvPicPr>
        <xdr:cNvPr id="2" name="Picture 1">
          <a:extLst>
            <a:ext uri="{FF2B5EF4-FFF2-40B4-BE49-F238E27FC236}">
              <a16:creationId xmlns:a16="http://schemas.microsoft.com/office/drawing/2014/main" id="{113BF637-9F8C-404F-8B9A-8AB22E64E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9200" y="182880"/>
          <a:ext cx="1543330" cy="442082"/>
        </a:xfrm>
        <a:prstGeom prst="rect">
          <a:avLst/>
        </a:prstGeom>
      </xdr:spPr>
    </xdr:pic>
    <xdr:clientData/>
  </xdr:twoCellAnchor>
  <xdr:twoCellAnchor editAs="oneCell">
    <xdr:from>
      <xdr:col>1</xdr:col>
      <xdr:colOff>0</xdr:colOff>
      <xdr:row>27</xdr:row>
      <xdr:rowOff>0</xdr:rowOff>
    </xdr:from>
    <xdr:to>
      <xdr:col>3</xdr:col>
      <xdr:colOff>304800</xdr:colOff>
      <xdr:row>29</xdr:row>
      <xdr:rowOff>67829</xdr:rowOff>
    </xdr:to>
    <xdr:pic>
      <xdr:nvPicPr>
        <xdr:cNvPr id="3" name="Picture 2">
          <a:hlinkClick xmlns:r="http://schemas.openxmlformats.org/officeDocument/2006/relationships" r:id="rId2"/>
          <a:extLst>
            <a:ext uri="{FF2B5EF4-FFF2-40B4-BE49-F238E27FC236}">
              <a16:creationId xmlns:a16="http://schemas.microsoft.com/office/drawing/2014/main" id="{602BB025-83F9-4955-BC88-7D277D7994E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8600" y="4937760"/>
          <a:ext cx="1524000" cy="433589"/>
        </a:xfrm>
        <a:prstGeom prst="rect">
          <a:avLst/>
        </a:prstGeom>
      </xdr:spPr>
    </xdr:pic>
    <xdr:clientData/>
  </xdr:twoCellAnchor>
  <xdr:twoCellAnchor editAs="oneCell">
    <xdr:from>
      <xdr:col>7</xdr:col>
      <xdr:colOff>1</xdr:colOff>
      <xdr:row>7</xdr:row>
      <xdr:rowOff>1</xdr:rowOff>
    </xdr:from>
    <xdr:to>
      <xdr:col>8</xdr:col>
      <xdr:colOff>1</xdr:colOff>
      <xdr:row>21</xdr:row>
      <xdr:rowOff>1</xdr:rowOff>
    </xdr:to>
    <xdr:pic>
      <xdr:nvPicPr>
        <xdr:cNvPr id="5" name="Picture 4">
          <a:hlinkClick xmlns:r="http://schemas.openxmlformats.org/officeDocument/2006/relationships" r:id="rId4"/>
          <a:extLst>
            <a:ext uri="{FF2B5EF4-FFF2-40B4-BE49-F238E27FC236}">
              <a16:creationId xmlns:a16="http://schemas.microsoft.com/office/drawing/2014/main" id="{87527581-9CC7-32E2-D643-E625DB568F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86201" y="1280161"/>
          <a:ext cx="2560320" cy="25603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𝒗𝒂𝒏𝒔𝒉𝒊𝒌𝒂 🦋" refreshedDate="46017.841146296298" createdVersion="8" refreshedVersion="8" minRefreshableVersion="3" recordCount="2400" xr:uid="{9BFA87B3-C0A4-4F29-8BC4-7849CA9C0FDD}">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688123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91479F-AA8D-431C-A663-EC1F5D7D3852}"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G12"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36898-5CAC-4C72-A3AD-F2A28AD48D9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38:J143"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9" count="1" selected="0">
            <x v="0"/>
          </reference>
        </references>
      </pivotArea>
    </chartFormat>
    <chartFormat chart="12" format="11" series="1">
      <pivotArea type="data" outline="0" fieldPosition="0">
        <references count="2">
          <reference field="4294967294" count="1" selected="0">
            <x v="0"/>
          </reference>
          <reference field="9" count="1" selected="0">
            <x v="1"/>
          </reference>
        </references>
      </pivotArea>
    </chartFormat>
    <chartFormat chart="12" format="12" series="1">
      <pivotArea type="data" outline="0" fieldPosition="0">
        <references count="2">
          <reference field="4294967294" count="1" selected="0">
            <x v="0"/>
          </reference>
          <reference field="9" count="1" selected="0">
            <x v="2"/>
          </reference>
        </references>
      </pivotArea>
    </chartFormat>
    <chartFormat chart="12" format="13" series="1">
      <pivotArea type="data" outline="0" fieldPosition="0">
        <references count="2">
          <reference field="4294967294" count="1" selected="0">
            <x v="0"/>
          </reference>
          <reference field="9" count="1" selected="0">
            <x v="3"/>
          </reference>
        </references>
      </pivotArea>
    </chartFormat>
    <chartFormat chart="1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948D76-5BA7-44AE-AEF9-850BF5CDE22B}"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8:B154"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D964AB-B9EC-49BE-98A7-90C3A6A931F0}" name="PivotTable7"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O39:Q99" firstHeaderRow="1" firstDataRow="1" firstDataCol="2"/>
  <pivotFields count="18">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dataField="1" compact="0" outline="0" showAll="0">
      <items count="21">
        <item x="14"/>
        <item x="10"/>
        <item x="12"/>
        <item x="15"/>
        <item x="4"/>
        <item x="7"/>
        <item x="6"/>
        <item x="19"/>
        <item x="18"/>
        <item x="11"/>
        <item x="17"/>
        <item x="5"/>
        <item x="0"/>
        <item x="2"/>
        <item x="9"/>
        <item x="16"/>
        <item x="1"/>
        <item x="13"/>
        <item x="8"/>
        <item x="3"/>
        <item t="default"/>
      </items>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axis="axisRow" compact="0" outline="0" showAll="0">
      <items count="2">
        <item x="0"/>
        <item t="default"/>
      </items>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compact="0" outline="0" showAll="0"/>
    <pivotField compact="0" outline="0" showAll="0"/>
    <pivotField compact="0" outline="0" showAll="0">
      <items count="5">
        <item x="2"/>
        <item x="1"/>
        <item x="3"/>
        <item x="0"/>
        <item t="default"/>
      </items>
    </pivotField>
    <pivotField compact="0" outline="0" showAll="0">
      <items count="8">
        <item x="0"/>
        <item x="1"/>
        <item x="2"/>
        <item x="4"/>
        <item x="3"/>
        <item x="5"/>
        <item x="6"/>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Count of Produc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015AB8-85F2-4848-9DAD-BE6FEE9E64CF}" name="PivotTable6"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F39:H99" firstHeaderRow="1" firstDataRow="1" firstDataCol="2"/>
  <pivotFields count="18">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compact="0" numFmtId="15" outline="0" showAll="0"/>
    <pivotField compact="0" outline="0" showAll="0"/>
    <pivotField compact="0" outline="0" showAll="0">
      <items count="6">
        <item x="0"/>
        <item x="3"/>
        <item x="4"/>
        <item x="2"/>
        <item x="1"/>
        <item t="default"/>
      </items>
    </pivotField>
    <pivotField compact="0" outline="0" showAll="0"/>
    <pivotField axis="axisRow" compact="0" outline="0" showAll="0">
      <items count="2">
        <item x="0"/>
        <item t="default"/>
      </items>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pivotField>
    <pivotField compact="0" outline="0" showAll="0"/>
    <pivotField compact="0" outline="0" showAll="0"/>
    <pivotField compact="0" outline="0" showAll="0">
      <items count="5">
        <item x="2"/>
        <item x="1"/>
        <item x="3"/>
        <item x="0"/>
        <item t="default"/>
      </items>
    </pivotField>
    <pivotField compact="0" outline="0" showAll="0">
      <items count="8">
        <item x="0"/>
        <item x="1"/>
        <item x="2"/>
        <item x="4"/>
        <item x="3"/>
        <item x="5"/>
        <item x="6"/>
        <item t="default"/>
      </items>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Quantity" fld="2" baseField="0" baseItem="0"/>
  </dataFields>
  <chartFormats count="2">
    <chartFormat chart="7" format="0"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500F79-C573-4A79-A324-0D1117B2C44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10:P15" firstHeaderRow="1"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3" format="2" series="1">
      <pivotArea type="data" outline="0" fieldPosition="0">
        <references count="2">
          <reference field="4294967294" count="1" selected="0">
            <x v="0"/>
          </reference>
          <reference field="14" count="1" selected="0">
            <x v="2"/>
          </reference>
        </references>
      </pivotArea>
    </chartFormat>
    <chartFormat chart="3"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4" count="1" selected="0">
            <x v="3"/>
          </reference>
        </references>
      </pivotArea>
    </chartFormat>
    <chartFormat chart="7" format="2">
      <pivotArea type="data" outline="0" fieldPosition="0">
        <references count="2">
          <reference field="4294967294" count="1" selected="0">
            <x v="0"/>
          </reference>
          <reference field="14" count="1" selected="0">
            <x v="2"/>
          </reference>
        </references>
      </pivotArea>
    </chartFormat>
    <chartFormat chart="7" format="3">
      <pivotArea type="data" outline="0" fieldPosition="0">
        <references count="2">
          <reference field="4294967294" count="1" selected="0">
            <x v="0"/>
          </reference>
          <reference field="14" count="1" selected="0">
            <x v="0"/>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4" count="1" selected="0">
            <x v="0"/>
          </reference>
        </references>
      </pivotArea>
    </chartFormat>
    <chartFormat chart="11" format="11">
      <pivotArea type="data" outline="0" fieldPosition="0">
        <references count="2">
          <reference field="4294967294" count="1" selected="0">
            <x v="0"/>
          </reference>
          <reference field="14" count="1" selected="0">
            <x v="1"/>
          </reference>
        </references>
      </pivotArea>
    </chartFormat>
    <chartFormat chart="11" format="12">
      <pivotArea type="data" outline="0" fieldPosition="0">
        <references count="2">
          <reference field="4294967294" count="1" selected="0">
            <x v="0"/>
          </reference>
          <reference field="14" count="1" selected="0">
            <x v="2"/>
          </reference>
        </references>
      </pivotArea>
    </chartFormat>
    <chartFormat chart="11" format="13">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EF6ED3-AEAB-41B7-A054-1A83946E5443}" name="gend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0:L32" firstHeaderRow="1" firstDataRow="2"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497925-1B9F-4970-9241-F6E47971935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9:C37"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7C5D26-FC5D-44C0-885A-23B4D7A454B0}"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9:D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11DE0C-9AF9-40D4-AF51-4B7676400C70}" name="summar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F5" firstHeaderRow="0" firstDataRow="1" firstDataCol="0"/>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Average of Days to Deliver" fld="12" subtotal="average" baseField="0" baseItem="1"/>
    <dataField name="Average of Rating C" fld="9" subtotal="average" baseField="0" baseItem="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0078AC5-98C9-48B8-A5F5-B4AF016A5345}" sourceName="Order Mode">
  <pivotTables>
    <pivotTable tabId="5" name="PivotTable9"/>
    <pivotTable tabId="5" name="summary"/>
    <pivotTable tabId="5" name="PivotTable4"/>
    <pivotTable tabId="5" name="PivotTable5"/>
    <pivotTable tabId="5" name="PivotTable6"/>
    <pivotTable tabId="5" name="PivotTable7"/>
    <pivotTable tabId="5" name="PivotTable8"/>
    <pivotTable tabId="5" name="PivotTable2"/>
    <pivotTable tabId="5" name="gender"/>
  </pivotTables>
  <data>
    <tabular pivotCacheId="1688123509">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E68E579E-DC34-4771-BEB0-0E2F29D9E179}" sourceName="Gender Value">
  <pivotTables>
    <pivotTable tabId="5" name="PivotTable9"/>
    <pivotTable tabId="5" name="summary"/>
    <pivotTable tabId="5" name="PivotTable2"/>
    <pivotTable tabId="5" name="PivotTable4"/>
    <pivotTable tabId="5" name="PivotTable6"/>
    <pivotTable tabId="5" name="PivotTable7"/>
    <pivotTable tabId="5" name="PivotTable8"/>
  </pivotTables>
  <data>
    <tabular pivotCacheId="168812350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5AAA94D-C503-4F24-B555-576ECA712745}" cache="Slicer_Order_Mode" caption="Order Mode" style="SlicerStyleLight5" rowHeight="216000"/>
  <slicer name="Gender Value" xr10:uid="{F9380D81-86A4-49BB-AEAA-815E343D11A5}" cache="Slicer_Gender_Value" caption="Gender Value" style="SlicerStyleLight5"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handoo.org/wp/excel-school-program/" TargetMode="External"/><Relationship Id="rId1" Type="http://schemas.openxmlformats.org/officeDocument/2006/relationships/hyperlink" Target="https://youtu.be/l5qkg8gzY6E" TargetMode="Externa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N2" sqref="N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workbookViewId="0">
      <selection activeCell="K46" sqref="K46"/>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5CAFE-0435-4265-9B20-AEA477873142}">
  <dimension ref="B5:O12"/>
  <sheetViews>
    <sheetView showGridLines="0" workbookViewId="0">
      <selection activeCell="J6" sqref="J6:N11"/>
    </sheetView>
  </sheetViews>
  <sheetFormatPr defaultRowHeight="14.4" x14ac:dyDescent="0.3"/>
  <cols>
    <col min="2" max="2" width="13.5546875" bestFit="1" customWidth="1"/>
    <col min="3" max="3" width="15.5546875" bestFit="1" customWidth="1"/>
    <col min="4" max="4" width="7.109375" bestFit="1" customWidth="1"/>
    <col min="5" max="5" width="6.109375" bestFit="1" customWidth="1"/>
    <col min="6" max="6" width="8.5546875" bestFit="1" customWidth="1"/>
    <col min="7" max="7" width="10.5546875" bestFit="1" customWidth="1"/>
    <col min="10" max="10" width="10.44140625" bestFit="1" customWidth="1"/>
  </cols>
  <sheetData>
    <row r="5" spans="2:15" x14ac:dyDescent="0.3">
      <c r="B5" s="12" t="s">
        <v>2554</v>
      </c>
      <c r="C5" s="12" t="s">
        <v>2569</v>
      </c>
    </row>
    <row r="6" spans="2:15" x14ac:dyDescent="0.3">
      <c r="B6" s="12" t="s">
        <v>2563</v>
      </c>
      <c r="C6" t="s">
        <v>2565</v>
      </c>
      <c r="D6" t="s">
        <v>2566</v>
      </c>
      <c r="E6" t="s">
        <v>2567</v>
      </c>
      <c r="F6" t="s">
        <v>2568</v>
      </c>
      <c r="G6" t="s">
        <v>2564</v>
      </c>
      <c r="J6" s="17"/>
      <c r="K6" s="18" t="s">
        <v>2565</v>
      </c>
      <c r="L6" s="18" t="s">
        <v>2566</v>
      </c>
      <c r="M6" s="18" t="s">
        <v>2567</v>
      </c>
      <c r="N6" s="18" t="s">
        <v>2568</v>
      </c>
    </row>
    <row r="7" spans="2:15" x14ac:dyDescent="0.3">
      <c r="B7" s="13" t="s">
        <v>18</v>
      </c>
      <c r="C7" s="15">
        <v>0.18961825201634841</v>
      </c>
      <c r="D7" s="15">
        <v>0.12262322351336576</v>
      </c>
      <c r="E7" s="15">
        <v>1.060537752469185E-2</v>
      </c>
      <c r="F7" s="15">
        <v>3.0599220547662797E-2</v>
      </c>
      <c r="G7" s="15">
        <v>0.35344607360206881</v>
      </c>
      <c r="J7" s="17" t="str">
        <f>B7</f>
        <v>App</v>
      </c>
      <c r="K7" s="19">
        <f t="shared" ref="K7:N11" si="0">C7</f>
        <v>0.18961825201634841</v>
      </c>
      <c r="L7" s="19">
        <f t="shared" si="0"/>
        <v>0.12262322351336576</v>
      </c>
      <c r="M7" s="19">
        <f t="shared" si="0"/>
        <v>1.060537752469185E-2</v>
      </c>
      <c r="N7" s="19">
        <f t="shared" si="0"/>
        <v>3.0599220547662797E-2</v>
      </c>
      <c r="O7" s="16"/>
    </row>
    <row r="8" spans="2:15" x14ac:dyDescent="0.3">
      <c r="B8" s="13" t="s">
        <v>51</v>
      </c>
      <c r="C8" s="15">
        <v>5.0283982091147303E-2</v>
      </c>
      <c r="D8" s="15">
        <v>4.3060781812819873E-2</v>
      </c>
      <c r="E8" s="15">
        <v>1.5320025675641944E-3</v>
      </c>
      <c r="F8" s="15">
        <v>1.7794988689097006E-2</v>
      </c>
      <c r="G8" s="15">
        <v>0.11267175516062837</v>
      </c>
      <c r="J8" s="17" t="str">
        <f>B8</f>
        <v>Instagram</v>
      </c>
      <c r="K8" s="19">
        <f t="shared" si="0"/>
        <v>5.0283982091147303E-2</v>
      </c>
      <c r="L8" s="19">
        <f t="shared" si="0"/>
        <v>4.3060781812819873E-2</v>
      </c>
      <c r="M8" s="19">
        <f t="shared" si="0"/>
        <v>1.5320025675641944E-3</v>
      </c>
      <c r="N8" s="19">
        <f t="shared" si="0"/>
        <v>1.7794988689097006E-2</v>
      </c>
      <c r="O8" s="16"/>
    </row>
    <row r="9" spans="2:15" x14ac:dyDescent="0.3">
      <c r="B9" s="13" t="s">
        <v>70</v>
      </c>
      <c r="C9" s="15">
        <v>6.3496059750411282E-2</v>
      </c>
      <c r="D9" s="15">
        <v>4.6071629863988765E-2</v>
      </c>
      <c r="E9" s="15">
        <v>2.306247051322625E-3</v>
      </c>
      <c r="F9" s="15">
        <v>3.8927934093844286E-3</v>
      </c>
      <c r="G9" s="15">
        <v>0.11576673007510711</v>
      </c>
      <c r="J9" s="17" t="str">
        <f>B9</f>
        <v>Partner App</v>
      </c>
      <c r="K9" s="19">
        <f t="shared" si="0"/>
        <v>6.3496059750411282E-2</v>
      </c>
      <c r="L9" s="19">
        <f t="shared" si="0"/>
        <v>4.6071629863988765E-2</v>
      </c>
      <c r="M9" s="19">
        <f t="shared" si="0"/>
        <v>2.306247051322625E-3</v>
      </c>
      <c r="N9" s="19">
        <f t="shared" si="0"/>
        <v>3.8927934093844286E-3</v>
      </c>
      <c r="O9" s="16"/>
    </row>
    <row r="10" spans="2:15" x14ac:dyDescent="0.3">
      <c r="B10" s="13" t="s">
        <v>40</v>
      </c>
      <c r="C10" s="15">
        <v>9.6337892927149532E-2</v>
      </c>
      <c r="D10" s="15">
        <v>6.7920115842382611E-2</v>
      </c>
      <c r="E10" s="15">
        <v>5.4979832664581261E-3</v>
      </c>
      <c r="F10" s="15">
        <v>1.2933041488102518E-2</v>
      </c>
      <c r="G10" s="15">
        <v>0.1826890335240928</v>
      </c>
      <c r="J10" s="17" t="str">
        <f>B10</f>
        <v>Target.com</v>
      </c>
      <c r="K10" s="19">
        <f t="shared" si="0"/>
        <v>9.6337892927149532E-2</v>
      </c>
      <c r="L10" s="19">
        <f t="shared" si="0"/>
        <v>6.7920115842382611E-2</v>
      </c>
      <c r="M10" s="19">
        <f t="shared" si="0"/>
        <v>5.4979832664581261E-3</v>
      </c>
      <c r="N10" s="19">
        <f t="shared" si="0"/>
        <v>1.2933041488102518E-2</v>
      </c>
      <c r="O10" s="16"/>
    </row>
    <row r="11" spans="2:15" x14ac:dyDescent="0.3">
      <c r="B11" s="13" t="s">
        <v>35</v>
      </c>
      <c r="C11" s="15">
        <v>0.12522098709469262</v>
      </c>
      <c r="D11" s="15">
        <v>9.1492740283116228E-2</v>
      </c>
      <c r="E11" s="15">
        <v>6.3042760790965081E-3</v>
      </c>
      <c r="F11" s="15">
        <v>1.2408404181197551E-2</v>
      </c>
      <c r="G11" s="15">
        <v>0.23542640763810288</v>
      </c>
      <c r="J11" s="17" t="str">
        <f>B11</f>
        <v>Website</v>
      </c>
      <c r="K11" s="19">
        <f t="shared" si="0"/>
        <v>0.12522098709469262</v>
      </c>
      <c r="L11" s="19">
        <f t="shared" si="0"/>
        <v>9.1492740283116228E-2</v>
      </c>
      <c r="M11" s="19">
        <f t="shared" si="0"/>
        <v>6.3042760790965081E-3</v>
      </c>
      <c r="N11" s="19">
        <f t="shared" si="0"/>
        <v>1.2408404181197551E-2</v>
      </c>
      <c r="O11" s="16"/>
    </row>
    <row r="12" spans="2:15" x14ac:dyDescent="0.3">
      <c r="B12" s="13" t="s">
        <v>2564</v>
      </c>
      <c r="C12" s="15">
        <v>0.52495717387974916</v>
      </c>
      <c r="D12" s="15">
        <v>0.3711684913156732</v>
      </c>
      <c r="E12" s="15">
        <v>2.6245886489133303E-2</v>
      </c>
      <c r="F12" s="15">
        <v>7.7628448315444312E-2</v>
      </c>
      <c r="G12" s="15">
        <v>1</v>
      </c>
    </row>
  </sheetData>
  <conditionalFormatting sqref="J6:N11">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2:H24"/>
  <sheetViews>
    <sheetView workbookViewId="0">
      <selection activeCell="N7" sqref="N7"/>
    </sheetView>
  </sheetViews>
  <sheetFormatPr defaultRowHeight="14.4" x14ac:dyDescent="0.3"/>
  <cols>
    <col min="1" max="1" width="3.33203125" customWidth="1"/>
    <col min="8" max="8" width="37.33203125" customWidth="1"/>
  </cols>
  <sheetData>
    <row r="2" spans="2:8" x14ac:dyDescent="0.3">
      <c r="H2" t="s">
        <v>2548</v>
      </c>
    </row>
    <row r="3" spans="2:8" x14ac:dyDescent="0.3">
      <c r="B3" t="s">
        <v>2518</v>
      </c>
    </row>
    <row r="4" spans="2:8" x14ac:dyDescent="0.3">
      <c r="H4" s="11" t="s">
        <v>2549</v>
      </c>
    </row>
    <row r="5" spans="2:8" x14ac:dyDescent="0.3">
      <c r="B5" t="s">
        <v>2519</v>
      </c>
      <c r="H5" s="11" t="s">
        <v>2550</v>
      </c>
    </row>
    <row r="6" spans="2:8" x14ac:dyDescent="0.3">
      <c r="B6" s="5"/>
      <c r="C6" t="s">
        <v>2520</v>
      </c>
      <c r="D6" t="s">
        <v>2526</v>
      </c>
      <c r="H6" t="s">
        <v>2551</v>
      </c>
    </row>
    <row r="7" spans="2:8" x14ac:dyDescent="0.3">
      <c r="B7" s="6"/>
      <c r="C7" t="s">
        <v>2521</v>
      </c>
      <c r="D7" t="s">
        <v>2527</v>
      </c>
    </row>
    <row r="8" spans="2:8" x14ac:dyDescent="0.3">
      <c r="B8" s="7"/>
      <c r="C8" t="s">
        <v>2522</v>
      </c>
      <c r="D8" t="s">
        <v>2528</v>
      </c>
    </row>
    <row r="9" spans="2:8" x14ac:dyDescent="0.3">
      <c r="B9" s="8"/>
      <c r="C9" t="s">
        <v>2523</v>
      </c>
      <c r="D9" t="s">
        <v>2529</v>
      </c>
    </row>
    <row r="10" spans="2:8" x14ac:dyDescent="0.3">
      <c r="B10" s="9"/>
      <c r="C10" t="s">
        <v>2524</v>
      </c>
      <c r="D10" t="s">
        <v>2530</v>
      </c>
    </row>
    <row r="11" spans="2:8" x14ac:dyDescent="0.3">
      <c r="B11" s="2"/>
      <c r="C11" t="s">
        <v>2525</v>
      </c>
      <c r="D11" t="s">
        <v>2531</v>
      </c>
    </row>
    <row r="13" spans="2:8" x14ac:dyDescent="0.3">
      <c r="B13" t="s">
        <v>2532</v>
      </c>
    </row>
    <row r="14" spans="2:8" x14ac:dyDescent="0.3">
      <c r="B14" t="s">
        <v>2533</v>
      </c>
      <c r="C14" t="s">
        <v>2538</v>
      </c>
    </row>
    <row r="15" spans="2:8" x14ac:dyDescent="0.3">
      <c r="B15" t="s">
        <v>2534</v>
      </c>
      <c r="C15" t="s">
        <v>2</v>
      </c>
    </row>
    <row r="16" spans="2:8" x14ac:dyDescent="0.3">
      <c r="B16" t="s">
        <v>2535</v>
      </c>
      <c r="C16" t="s">
        <v>4</v>
      </c>
    </row>
    <row r="17" spans="2:3" x14ac:dyDescent="0.3">
      <c r="B17" t="s">
        <v>2536</v>
      </c>
      <c r="C17" t="s">
        <v>2539</v>
      </c>
    </row>
    <row r="18" spans="2:3" x14ac:dyDescent="0.3">
      <c r="B18" t="s">
        <v>2537</v>
      </c>
      <c r="C18" t="s">
        <v>2540</v>
      </c>
    </row>
    <row r="21" spans="2:3" x14ac:dyDescent="0.3">
      <c r="B21" t="s">
        <v>2541</v>
      </c>
    </row>
    <row r="22" spans="2:3" x14ac:dyDescent="0.3">
      <c r="B22" t="s">
        <v>2542</v>
      </c>
      <c r="C22" t="s">
        <v>2543</v>
      </c>
    </row>
    <row r="23" spans="2:3" x14ac:dyDescent="0.3">
      <c r="B23" t="s">
        <v>2544</v>
      </c>
      <c r="C23" t="s">
        <v>2545</v>
      </c>
    </row>
    <row r="24" spans="2:3" x14ac:dyDescent="0.3">
      <c r="B24" s="10" t="s">
        <v>2546</v>
      </c>
      <c r="C24" t="s">
        <v>2547</v>
      </c>
    </row>
  </sheetData>
  <phoneticPr fontId="2" type="noConversion"/>
  <hyperlinks>
    <hyperlink ref="H4" r:id="rId1" xr:uid="{A77862B0-B580-43DF-9272-7B32B5A35427}"/>
    <hyperlink ref="H5" r:id="rId2" xr:uid="{602AE8E3-2587-4F74-A241-C4690768D1EC}"/>
  </hyperlink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CE665-0DF2-48D2-B777-93B44CD14416}">
  <dimension ref="A3:V154"/>
  <sheetViews>
    <sheetView topLeftCell="G53" workbookViewId="0">
      <selection activeCell="T40" sqref="T40:T97"/>
    </sheetView>
  </sheetViews>
  <sheetFormatPr defaultRowHeight="14.4" x14ac:dyDescent="0.3"/>
  <cols>
    <col min="1" max="1" width="12.44140625" bestFit="1" customWidth="1"/>
    <col min="2" max="3" width="12.21875" bestFit="1" customWidth="1"/>
    <col min="4" max="4" width="13.5546875" bestFit="1" customWidth="1"/>
    <col min="5" max="5" width="14.21875" bestFit="1" customWidth="1"/>
    <col min="6" max="6" width="13.5546875" bestFit="1" customWidth="1"/>
    <col min="7" max="7" width="19.6640625" bestFit="1" customWidth="1"/>
    <col min="8" max="8" width="14.21875" bestFit="1" customWidth="1"/>
    <col min="9" max="9" width="4" bestFit="1" customWidth="1"/>
    <col min="10" max="10" width="10.5546875" bestFit="1" customWidth="1"/>
    <col min="11" max="11" width="8.5546875" bestFit="1" customWidth="1"/>
    <col min="12" max="12" width="10.5546875" bestFit="1" customWidth="1"/>
    <col min="13" max="14" width="9" bestFit="1" customWidth="1"/>
    <col min="15" max="15" width="12.44140625" bestFit="1" customWidth="1"/>
    <col min="16" max="16" width="19.6640625" bestFit="1" customWidth="1"/>
    <col min="17" max="17" width="14.77734375" bestFit="1" customWidth="1"/>
    <col min="18" max="35" width="9" bestFit="1" customWidth="1"/>
    <col min="36" max="92" width="9.44140625" bestFit="1" customWidth="1"/>
    <col min="93" max="93" width="10.5546875" bestFit="1" customWidth="1"/>
  </cols>
  <sheetData>
    <row r="3" spans="2:16" x14ac:dyDescent="0.3">
      <c r="H3" t="s">
        <v>2557</v>
      </c>
    </row>
    <row r="4" spans="2:16" x14ac:dyDescent="0.3">
      <c r="B4" t="s">
        <v>2552</v>
      </c>
      <c r="C4" t="s">
        <v>2555</v>
      </c>
      <c r="D4" t="s">
        <v>2556</v>
      </c>
      <c r="E4" t="s">
        <v>2553</v>
      </c>
      <c r="F4" t="s">
        <v>2554</v>
      </c>
      <c r="H4" t="s">
        <v>2558</v>
      </c>
      <c r="I4" t="s">
        <v>2562</v>
      </c>
      <c r="J4" t="s">
        <v>2561</v>
      </c>
      <c r="K4" t="s">
        <v>2559</v>
      </c>
      <c r="L4" t="s">
        <v>2560</v>
      </c>
    </row>
    <row r="5" spans="2:16" x14ac:dyDescent="0.3">
      <c r="B5" s="20">
        <v>2400</v>
      </c>
      <c r="C5" s="20">
        <v>2.3424999999999998</v>
      </c>
      <c r="D5" s="20">
        <v>3.9620833333333332</v>
      </c>
      <c r="E5" s="20">
        <v>11997</v>
      </c>
      <c r="F5" s="20">
        <v>649019.80000000144</v>
      </c>
      <c r="H5" t="str">
        <f>TEXT(B5,"#,##")</f>
        <v>2,400</v>
      </c>
      <c r="I5" t="str">
        <f>TEXT(C5,"0.0")</f>
        <v>2.3</v>
      </c>
      <c r="J5" t="str">
        <f>TEXT(D5,"0.0")</f>
        <v>4.0</v>
      </c>
      <c r="K5" t="str">
        <f>TEXT(E5,"#,##")</f>
        <v>11,997</v>
      </c>
      <c r="L5" t="str">
        <f>TEXT(F5,"$#,##,.0k")</f>
        <v>$649.0k</v>
      </c>
    </row>
    <row r="9" spans="2:16" x14ac:dyDescent="0.3">
      <c r="B9" s="12" t="s">
        <v>2563</v>
      </c>
      <c r="C9" t="s">
        <v>2553</v>
      </c>
      <c r="D9" t="s">
        <v>2554</v>
      </c>
    </row>
    <row r="10" spans="2:16" x14ac:dyDescent="0.3">
      <c r="B10" s="13">
        <v>1</v>
      </c>
      <c r="C10" s="20">
        <v>546</v>
      </c>
      <c r="D10" s="14">
        <v>32413.300000000003</v>
      </c>
      <c r="G10" s="12" t="s">
        <v>2553</v>
      </c>
      <c r="H10" s="12" t="s">
        <v>2569</v>
      </c>
      <c r="O10" s="12" t="s">
        <v>2563</v>
      </c>
      <c r="P10" t="s">
        <v>2553</v>
      </c>
    </row>
    <row r="11" spans="2:16" x14ac:dyDescent="0.3">
      <c r="B11" s="13">
        <v>2</v>
      </c>
      <c r="C11" s="20">
        <v>905</v>
      </c>
      <c r="D11" s="14">
        <v>49562.999999999993</v>
      </c>
      <c r="G11" s="12" t="s">
        <v>2563</v>
      </c>
      <c r="H11" t="s">
        <v>2565</v>
      </c>
      <c r="I11" t="s">
        <v>2566</v>
      </c>
      <c r="J11" t="s">
        <v>2567</v>
      </c>
      <c r="K11" t="s">
        <v>2568</v>
      </c>
      <c r="L11" t="s">
        <v>2564</v>
      </c>
      <c r="O11" s="13" t="s">
        <v>2565</v>
      </c>
      <c r="P11" s="20">
        <v>6272</v>
      </c>
    </row>
    <row r="12" spans="2:16" x14ac:dyDescent="0.3">
      <c r="B12" s="13">
        <v>3</v>
      </c>
      <c r="C12" s="20">
        <v>796</v>
      </c>
      <c r="D12" s="14">
        <v>41700.400000000016</v>
      </c>
      <c r="G12" s="13" t="s">
        <v>44</v>
      </c>
      <c r="H12" s="20">
        <v>744</v>
      </c>
      <c r="I12" s="20">
        <v>713</v>
      </c>
      <c r="J12" s="20">
        <v>90</v>
      </c>
      <c r="K12" s="20">
        <v>98</v>
      </c>
      <c r="L12" s="20">
        <v>1645</v>
      </c>
      <c r="O12" s="13" t="s">
        <v>2566</v>
      </c>
      <c r="P12" s="20">
        <v>4672</v>
      </c>
    </row>
    <row r="13" spans="2:16" x14ac:dyDescent="0.3">
      <c r="B13" s="13">
        <v>4</v>
      </c>
      <c r="C13" s="20">
        <v>913</v>
      </c>
      <c r="D13" s="14">
        <v>46782.599999999984</v>
      </c>
      <c r="G13" s="13" t="s">
        <v>39</v>
      </c>
      <c r="H13" s="20">
        <v>716</v>
      </c>
      <c r="I13" s="20">
        <v>598</v>
      </c>
      <c r="J13" s="20">
        <v>18</v>
      </c>
      <c r="K13" s="20">
        <v>214</v>
      </c>
      <c r="L13" s="20">
        <v>1546</v>
      </c>
      <c r="O13" s="13" t="s">
        <v>2567</v>
      </c>
      <c r="P13" s="20">
        <v>317</v>
      </c>
    </row>
    <row r="14" spans="2:16" x14ac:dyDescent="0.3">
      <c r="B14" s="13">
        <v>5</v>
      </c>
      <c r="C14" s="20">
        <v>844</v>
      </c>
      <c r="D14" s="14">
        <v>42676.100000000006</v>
      </c>
      <c r="G14" s="13" t="s">
        <v>26</v>
      </c>
      <c r="H14" s="20">
        <v>627</v>
      </c>
      <c r="I14" s="20">
        <v>393</v>
      </c>
      <c r="J14" s="20">
        <v>29</v>
      </c>
      <c r="K14" s="20">
        <v>137</v>
      </c>
      <c r="L14" s="20">
        <v>1186</v>
      </c>
      <c r="O14" s="13" t="s">
        <v>2568</v>
      </c>
      <c r="P14" s="20">
        <v>736</v>
      </c>
    </row>
    <row r="15" spans="2:16" x14ac:dyDescent="0.3">
      <c r="B15" s="13">
        <v>6</v>
      </c>
      <c r="C15" s="20">
        <v>1202</v>
      </c>
      <c r="D15" s="14">
        <v>62910.7</v>
      </c>
      <c r="G15" s="13" t="s">
        <v>22</v>
      </c>
      <c r="H15" s="20">
        <v>568</v>
      </c>
      <c r="I15" s="20">
        <v>306</v>
      </c>
      <c r="J15" s="20">
        <v>22</v>
      </c>
      <c r="K15" s="20">
        <v>16</v>
      </c>
      <c r="L15" s="20">
        <v>912</v>
      </c>
      <c r="O15" s="13" t="s">
        <v>2564</v>
      </c>
      <c r="P15" s="20">
        <v>11997</v>
      </c>
    </row>
    <row r="16" spans="2:16" x14ac:dyDescent="0.3">
      <c r="B16" s="13">
        <v>7</v>
      </c>
      <c r="C16" s="20">
        <v>935</v>
      </c>
      <c r="D16" s="14">
        <v>50332.200000000004</v>
      </c>
      <c r="G16" s="13" t="s">
        <v>54</v>
      </c>
      <c r="H16" s="20">
        <v>482</v>
      </c>
      <c r="I16" s="20">
        <v>295</v>
      </c>
      <c r="J16" s="20">
        <v>8</v>
      </c>
      <c r="K16" s="20">
        <v>22</v>
      </c>
      <c r="L16" s="20">
        <v>807</v>
      </c>
    </row>
    <row r="17" spans="2:12" x14ac:dyDescent="0.3">
      <c r="B17" s="13">
        <v>8</v>
      </c>
      <c r="C17" s="20">
        <v>1128</v>
      </c>
      <c r="D17" s="14">
        <v>58760.599999999977</v>
      </c>
      <c r="G17" s="13" t="s">
        <v>16</v>
      </c>
      <c r="H17" s="20">
        <v>428</v>
      </c>
      <c r="I17" s="20">
        <v>293</v>
      </c>
      <c r="J17" s="20"/>
      <c r="K17" s="20">
        <v>24</v>
      </c>
      <c r="L17" s="20">
        <v>745</v>
      </c>
    </row>
    <row r="18" spans="2:12" x14ac:dyDescent="0.3">
      <c r="B18" s="13">
        <v>9</v>
      </c>
      <c r="C18" s="20">
        <v>1007</v>
      </c>
      <c r="D18" s="14">
        <v>52017.299999999996</v>
      </c>
      <c r="G18" s="13" t="s">
        <v>46</v>
      </c>
      <c r="H18" s="20">
        <v>445</v>
      </c>
      <c r="I18" s="20">
        <v>202</v>
      </c>
      <c r="J18" s="20">
        <v>14</v>
      </c>
      <c r="K18" s="20">
        <v>39</v>
      </c>
      <c r="L18" s="20">
        <v>700</v>
      </c>
    </row>
    <row r="19" spans="2:12" x14ac:dyDescent="0.3">
      <c r="B19" s="13">
        <v>10</v>
      </c>
      <c r="C19" s="20">
        <v>1128</v>
      </c>
      <c r="D19" s="14">
        <v>64915.700000000033</v>
      </c>
      <c r="G19" s="13" t="s">
        <v>32</v>
      </c>
      <c r="H19" s="20">
        <v>431</v>
      </c>
      <c r="I19" s="20">
        <v>187</v>
      </c>
      <c r="J19" s="20">
        <v>14</v>
      </c>
      <c r="K19" s="20">
        <v>15</v>
      </c>
      <c r="L19" s="20">
        <v>647</v>
      </c>
    </row>
    <row r="20" spans="2:12" x14ac:dyDescent="0.3">
      <c r="B20" s="13">
        <v>11</v>
      </c>
      <c r="C20" s="20">
        <v>861</v>
      </c>
      <c r="D20" s="14">
        <v>45943.80000000001</v>
      </c>
      <c r="G20" s="13" t="s">
        <v>42</v>
      </c>
      <c r="H20" s="20">
        <v>264</v>
      </c>
      <c r="I20" s="20">
        <v>318</v>
      </c>
      <c r="J20" s="20">
        <v>15</v>
      </c>
      <c r="K20" s="20">
        <v>9</v>
      </c>
      <c r="L20" s="20">
        <v>606</v>
      </c>
    </row>
    <row r="21" spans="2:12" x14ac:dyDescent="0.3">
      <c r="B21" s="13">
        <v>12</v>
      </c>
      <c r="C21" s="20">
        <v>944</v>
      </c>
      <c r="D21" s="14">
        <v>55077.900000000031</v>
      </c>
      <c r="G21" s="13" t="s">
        <v>37</v>
      </c>
      <c r="H21" s="20">
        <v>296</v>
      </c>
      <c r="I21" s="20">
        <v>275</v>
      </c>
      <c r="J21" s="20">
        <v>9</v>
      </c>
      <c r="K21" s="20">
        <v>23</v>
      </c>
      <c r="L21" s="20">
        <v>603</v>
      </c>
    </row>
    <row r="22" spans="2:12" x14ac:dyDescent="0.3">
      <c r="B22" s="13">
        <v>13</v>
      </c>
      <c r="C22" s="20">
        <v>788</v>
      </c>
      <c r="D22" s="14">
        <v>45926.19999999999</v>
      </c>
      <c r="G22" s="13" t="s">
        <v>123</v>
      </c>
      <c r="H22" s="20">
        <v>153</v>
      </c>
      <c r="I22" s="20">
        <v>246</v>
      </c>
      <c r="J22" s="20">
        <v>30</v>
      </c>
      <c r="K22" s="20">
        <v>8</v>
      </c>
      <c r="L22" s="20">
        <v>437</v>
      </c>
    </row>
    <row r="23" spans="2:12" x14ac:dyDescent="0.3">
      <c r="B23" s="13" t="s">
        <v>2564</v>
      </c>
      <c r="C23" s="20">
        <v>11997</v>
      </c>
      <c r="D23" s="14">
        <v>649019.79999999993</v>
      </c>
      <c r="G23" s="13" t="s">
        <v>146</v>
      </c>
      <c r="H23" s="20">
        <v>189</v>
      </c>
      <c r="I23" s="20">
        <v>168</v>
      </c>
      <c r="J23" s="20">
        <v>10</v>
      </c>
      <c r="K23" s="20">
        <v>31</v>
      </c>
      <c r="L23" s="20">
        <v>398</v>
      </c>
    </row>
    <row r="24" spans="2:12" x14ac:dyDescent="0.3">
      <c r="G24" s="13" t="s">
        <v>69</v>
      </c>
      <c r="H24" s="20">
        <v>234</v>
      </c>
      <c r="I24" s="20">
        <v>93</v>
      </c>
      <c r="J24" s="20">
        <v>19</v>
      </c>
      <c r="K24" s="20">
        <v>24</v>
      </c>
      <c r="L24" s="20">
        <v>370</v>
      </c>
    </row>
    <row r="25" spans="2:12" x14ac:dyDescent="0.3">
      <c r="G25" s="13" t="s">
        <v>30</v>
      </c>
      <c r="H25" s="20">
        <v>146</v>
      </c>
      <c r="I25" s="20">
        <v>94</v>
      </c>
      <c r="J25" s="20">
        <v>4</v>
      </c>
      <c r="K25" s="20">
        <v>28</v>
      </c>
      <c r="L25" s="20">
        <v>272</v>
      </c>
    </row>
    <row r="26" spans="2:12" x14ac:dyDescent="0.3">
      <c r="G26" s="13" t="s">
        <v>135</v>
      </c>
      <c r="H26" s="20">
        <v>127</v>
      </c>
      <c r="I26" s="20">
        <v>118</v>
      </c>
      <c r="J26" s="20">
        <v>13</v>
      </c>
      <c r="K26" s="20">
        <v>12</v>
      </c>
      <c r="L26" s="20">
        <v>270</v>
      </c>
    </row>
    <row r="27" spans="2:12" x14ac:dyDescent="0.3">
      <c r="G27" s="13" t="s">
        <v>67</v>
      </c>
      <c r="H27" s="20">
        <v>179</v>
      </c>
      <c r="I27" s="20">
        <v>76</v>
      </c>
      <c r="J27" s="20">
        <v>3</v>
      </c>
      <c r="K27" s="20"/>
      <c r="L27" s="20">
        <v>258</v>
      </c>
    </row>
    <row r="28" spans="2:12" x14ac:dyDescent="0.3">
      <c r="G28" s="13" t="s">
        <v>128</v>
      </c>
      <c r="H28" s="20">
        <v>99</v>
      </c>
      <c r="I28" s="20">
        <v>69</v>
      </c>
      <c r="J28" s="20">
        <v>3</v>
      </c>
      <c r="K28" s="20">
        <v>24</v>
      </c>
      <c r="L28" s="20">
        <v>195</v>
      </c>
    </row>
    <row r="29" spans="2:12" x14ac:dyDescent="0.3">
      <c r="B29" s="12" t="s">
        <v>2563</v>
      </c>
      <c r="C29" t="s">
        <v>2552</v>
      </c>
      <c r="G29" s="13" t="s">
        <v>76</v>
      </c>
      <c r="H29" s="20">
        <v>75</v>
      </c>
      <c r="I29" s="20">
        <v>103</v>
      </c>
      <c r="J29" s="20">
        <v>4</v>
      </c>
      <c r="K29" s="20">
        <v>6</v>
      </c>
      <c r="L29" s="20">
        <v>188</v>
      </c>
    </row>
    <row r="30" spans="2:12" x14ac:dyDescent="0.3">
      <c r="B30" s="13">
        <v>1</v>
      </c>
      <c r="C30" s="20">
        <v>397</v>
      </c>
      <c r="G30" s="13" t="s">
        <v>81</v>
      </c>
      <c r="H30" s="20">
        <v>43</v>
      </c>
      <c r="I30" s="20">
        <v>90</v>
      </c>
      <c r="J30" s="20">
        <v>8</v>
      </c>
      <c r="K30" s="20">
        <v>6</v>
      </c>
      <c r="L30" s="20">
        <v>147</v>
      </c>
    </row>
    <row r="31" spans="2:12" x14ac:dyDescent="0.3">
      <c r="B31" s="13">
        <v>2</v>
      </c>
      <c r="C31" s="20">
        <v>540</v>
      </c>
      <c r="G31" s="13" t="s">
        <v>171</v>
      </c>
      <c r="H31" s="20">
        <v>26</v>
      </c>
      <c r="I31" s="20">
        <v>35</v>
      </c>
      <c r="J31" s="20">
        <v>4</v>
      </c>
      <c r="K31" s="20"/>
      <c r="L31" s="20">
        <v>65</v>
      </c>
    </row>
    <row r="32" spans="2:12" x14ac:dyDescent="0.3">
      <c r="B32" s="13">
        <v>3</v>
      </c>
      <c r="C32" s="20">
        <v>375</v>
      </c>
      <c r="G32" s="13" t="s">
        <v>2564</v>
      </c>
      <c r="H32" s="20">
        <v>6272</v>
      </c>
      <c r="I32" s="20">
        <v>4672</v>
      </c>
      <c r="J32" s="20">
        <v>317</v>
      </c>
      <c r="K32" s="20">
        <v>736</v>
      </c>
      <c r="L32" s="20">
        <v>11997</v>
      </c>
    </row>
    <row r="33" spans="2:22" x14ac:dyDescent="0.3">
      <c r="B33" s="13">
        <v>4</v>
      </c>
      <c r="C33" s="20">
        <v>246</v>
      </c>
    </row>
    <row r="34" spans="2:22" x14ac:dyDescent="0.3">
      <c r="B34" s="13">
        <v>5</v>
      </c>
      <c r="C34" s="20">
        <v>195</v>
      </c>
    </row>
    <row r="35" spans="2:22" x14ac:dyDescent="0.3">
      <c r="B35" s="13" t="s">
        <v>2570</v>
      </c>
      <c r="C35" s="20">
        <v>414</v>
      </c>
    </row>
    <row r="36" spans="2:22" x14ac:dyDescent="0.3">
      <c r="B36" s="13" t="s">
        <v>2571</v>
      </c>
      <c r="C36" s="20">
        <v>233</v>
      </c>
    </row>
    <row r="37" spans="2:22" x14ac:dyDescent="0.3">
      <c r="B37" s="13" t="s">
        <v>2564</v>
      </c>
      <c r="C37" s="20">
        <v>2400</v>
      </c>
    </row>
    <row r="39" spans="2:22" x14ac:dyDescent="0.3">
      <c r="F39" s="12" t="s">
        <v>10</v>
      </c>
      <c r="G39" s="12" t="s">
        <v>11</v>
      </c>
      <c r="H39" t="s">
        <v>2553</v>
      </c>
      <c r="O39" s="12" t="s">
        <v>10</v>
      </c>
      <c r="P39" s="12" t="s">
        <v>11</v>
      </c>
      <c r="Q39" t="s">
        <v>2573</v>
      </c>
    </row>
    <row r="40" spans="2:22" x14ac:dyDescent="0.3">
      <c r="F40" t="s">
        <v>19</v>
      </c>
      <c r="G40" t="s">
        <v>115</v>
      </c>
      <c r="H40" s="20">
        <v>579</v>
      </c>
      <c r="J40" t="str">
        <f>IF(F$40=" "," ",F$40)</f>
        <v>California</v>
      </c>
      <c r="K40" t="str">
        <f t="shared" ref="K40:L40" si="0">G40</f>
        <v>Alameda County</v>
      </c>
      <c r="L40">
        <f t="shared" si="0"/>
        <v>579</v>
      </c>
      <c r="O40" t="s">
        <v>19</v>
      </c>
      <c r="P40" t="s">
        <v>115</v>
      </c>
      <c r="Q40" s="20">
        <v>132</v>
      </c>
      <c r="T40" t="str">
        <f>IF(O$40=""," ",O$40)</f>
        <v>California</v>
      </c>
      <c r="U40" t="str">
        <f t="shared" ref="U40:V40" si="1">P40</f>
        <v>Alameda County</v>
      </c>
      <c r="V40">
        <f t="shared" si="1"/>
        <v>132</v>
      </c>
    </row>
    <row r="41" spans="2:22" x14ac:dyDescent="0.3">
      <c r="G41" t="s">
        <v>20</v>
      </c>
      <c r="H41" s="20">
        <v>1</v>
      </c>
      <c r="J41" t="str">
        <f t="shared" ref="J41:J97" si="2">IF(F$40=" "," ",F$40)</f>
        <v>California</v>
      </c>
      <c r="K41" t="str">
        <f t="shared" ref="K41:K97" si="3">G41</f>
        <v>Alpine County</v>
      </c>
      <c r="L41">
        <f t="shared" ref="L41:L97" si="4">H41</f>
        <v>1</v>
      </c>
      <c r="P41" t="s">
        <v>20</v>
      </c>
      <c r="Q41" s="20">
        <v>1</v>
      </c>
      <c r="T41" t="str">
        <f t="shared" ref="T41:T97" si="5">IF(O$40=""," ",O$40)</f>
        <v>California</v>
      </c>
      <c r="U41" t="str">
        <f t="shared" ref="U41:U97" si="6">P41</f>
        <v>Alpine County</v>
      </c>
      <c r="V41">
        <f t="shared" ref="V41:V97" si="7">Q41</f>
        <v>1</v>
      </c>
    </row>
    <row r="42" spans="2:22" x14ac:dyDescent="0.3">
      <c r="G42" t="s">
        <v>641</v>
      </c>
      <c r="H42" s="20">
        <v>9</v>
      </c>
      <c r="J42" t="str">
        <f t="shared" si="2"/>
        <v>California</v>
      </c>
      <c r="K42" t="str">
        <f t="shared" si="3"/>
        <v>Amador County</v>
      </c>
      <c r="L42">
        <f t="shared" si="4"/>
        <v>9</v>
      </c>
      <c r="P42" t="s">
        <v>641</v>
      </c>
      <c r="Q42" s="20">
        <v>4</v>
      </c>
      <c r="T42" t="str">
        <f t="shared" si="5"/>
        <v>California</v>
      </c>
      <c r="U42" t="str">
        <f t="shared" si="6"/>
        <v>Amador County</v>
      </c>
      <c r="V42">
        <f t="shared" si="7"/>
        <v>4</v>
      </c>
    </row>
    <row r="43" spans="2:22" x14ac:dyDescent="0.3">
      <c r="G43" t="s">
        <v>967</v>
      </c>
      <c r="H43" s="20">
        <v>35</v>
      </c>
      <c r="J43" t="str">
        <f t="shared" si="2"/>
        <v>California</v>
      </c>
      <c r="K43" t="str">
        <f t="shared" si="3"/>
        <v>Butte County</v>
      </c>
      <c r="L43">
        <f t="shared" si="4"/>
        <v>35</v>
      </c>
      <c r="P43" t="s">
        <v>967</v>
      </c>
      <c r="Q43" s="20">
        <v>5</v>
      </c>
      <c r="T43" t="str">
        <f t="shared" si="5"/>
        <v>California</v>
      </c>
      <c r="U43" t="str">
        <f t="shared" si="6"/>
        <v>Butte County</v>
      </c>
      <c r="V43">
        <f t="shared" si="7"/>
        <v>5</v>
      </c>
    </row>
    <row r="44" spans="2:22" x14ac:dyDescent="0.3">
      <c r="G44" t="s">
        <v>84</v>
      </c>
      <c r="H44" s="20">
        <v>12</v>
      </c>
      <c r="J44" t="str">
        <f t="shared" si="2"/>
        <v>California</v>
      </c>
      <c r="K44" t="str">
        <f t="shared" si="3"/>
        <v>Calaveras County</v>
      </c>
      <c r="L44">
        <f t="shared" si="4"/>
        <v>12</v>
      </c>
      <c r="P44" t="s">
        <v>84</v>
      </c>
      <c r="Q44" s="20">
        <v>2</v>
      </c>
      <c r="T44" t="str">
        <f t="shared" si="5"/>
        <v>California</v>
      </c>
      <c r="U44" t="str">
        <f t="shared" si="6"/>
        <v>Calaveras County</v>
      </c>
      <c r="V44">
        <f t="shared" si="7"/>
        <v>2</v>
      </c>
    </row>
    <row r="45" spans="2:22" x14ac:dyDescent="0.3">
      <c r="G45" t="s">
        <v>1383</v>
      </c>
      <c r="H45" s="20">
        <v>4</v>
      </c>
      <c r="J45" t="str">
        <f t="shared" si="2"/>
        <v>California</v>
      </c>
      <c r="K45" t="str">
        <f t="shared" si="3"/>
        <v>Colusa County</v>
      </c>
      <c r="L45">
        <f t="shared" si="4"/>
        <v>4</v>
      </c>
      <c r="P45" t="s">
        <v>1383</v>
      </c>
      <c r="Q45" s="20">
        <v>2</v>
      </c>
      <c r="T45" t="str">
        <f t="shared" si="5"/>
        <v>California</v>
      </c>
      <c r="U45" t="str">
        <f t="shared" si="6"/>
        <v>Colusa County</v>
      </c>
      <c r="V45">
        <f t="shared" si="7"/>
        <v>2</v>
      </c>
    </row>
    <row r="46" spans="2:22" x14ac:dyDescent="0.3">
      <c r="G46" t="s">
        <v>24</v>
      </c>
      <c r="H46" s="20">
        <v>341</v>
      </c>
      <c r="J46" t="str">
        <f t="shared" si="2"/>
        <v>California</v>
      </c>
      <c r="K46" t="str">
        <f t="shared" si="3"/>
        <v>Contra Costa County</v>
      </c>
      <c r="L46">
        <f t="shared" si="4"/>
        <v>341</v>
      </c>
      <c r="P46" t="s">
        <v>24</v>
      </c>
      <c r="Q46" s="20">
        <v>83</v>
      </c>
      <c r="T46" t="str">
        <f t="shared" si="5"/>
        <v>California</v>
      </c>
      <c r="U46" t="str">
        <f t="shared" si="6"/>
        <v>Contra Costa County</v>
      </c>
      <c r="V46">
        <f t="shared" si="7"/>
        <v>83</v>
      </c>
    </row>
    <row r="47" spans="2:22" x14ac:dyDescent="0.3">
      <c r="G47" t="s">
        <v>2204</v>
      </c>
      <c r="H47" s="20">
        <v>13</v>
      </c>
      <c r="J47" t="str">
        <f t="shared" si="2"/>
        <v>California</v>
      </c>
      <c r="K47" t="str">
        <f t="shared" si="3"/>
        <v>Del Norte County</v>
      </c>
      <c r="L47">
        <f t="shared" si="4"/>
        <v>13</v>
      </c>
      <c r="P47" t="s">
        <v>2204</v>
      </c>
      <c r="Q47" s="20">
        <v>1</v>
      </c>
      <c r="T47" t="str">
        <f t="shared" si="5"/>
        <v>California</v>
      </c>
      <c r="U47" t="str">
        <f t="shared" si="6"/>
        <v>Del Norte County</v>
      </c>
      <c r="V47">
        <f t="shared" si="7"/>
        <v>1</v>
      </c>
    </row>
    <row r="48" spans="2:22" x14ac:dyDescent="0.3">
      <c r="G48" t="s">
        <v>437</v>
      </c>
      <c r="H48" s="20">
        <v>31</v>
      </c>
      <c r="J48" t="str">
        <f t="shared" si="2"/>
        <v>California</v>
      </c>
      <c r="K48" t="str">
        <f t="shared" si="3"/>
        <v>El Dorado County</v>
      </c>
      <c r="L48">
        <f t="shared" si="4"/>
        <v>31</v>
      </c>
      <c r="P48" t="s">
        <v>437</v>
      </c>
      <c r="Q48" s="20">
        <v>6</v>
      </c>
      <c r="T48" t="str">
        <f t="shared" si="5"/>
        <v>California</v>
      </c>
      <c r="U48" t="str">
        <f t="shared" si="6"/>
        <v>El Dorado County</v>
      </c>
      <c r="V48">
        <f t="shared" si="7"/>
        <v>6</v>
      </c>
    </row>
    <row r="49" spans="7:22" x14ac:dyDescent="0.3">
      <c r="G49" t="s">
        <v>28</v>
      </c>
      <c r="H49" s="20">
        <v>279</v>
      </c>
      <c r="J49" t="str">
        <f t="shared" si="2"/>
        <v>California</v>
      </c>
      <c r="K49" t="str">
        <f t="shared" si="3"/>
        <v>Fresno County</v>
      </c>
      <c r="L49">
        <f t="shared" si="4"/>
        <v>279</v>
      </c>
      <c r="P49" t="s">
        <v>28</v>
      </c>
      <c r="Q49" s="20">
        <v>52</v>
      </c>
      <c r="T49" t="str">
        <f t="shared" si="5"/>
        <v>California</v>
      </c>
      <c r="U49" t="str">
        <f t="shared" si="6"/>
        <v>Fresno County</v>
      </c>
      <c r="V49">
        <f t="shared" si="7"/>
        <v>52</v>
      </c>
    </row>
    <row r="50" spans="7:22" x14ac:dyDescent="0.3">
      <c r="G50" t="s">
        <v>208</v>
      </c>
      <c r="H50" s="20">
        <v>9</v>
      </c>
      <c r="J50" t="str">
        <f t="shared" si="2"/>
        <v>California</v>
      </c>
      <c r="K50" t="str">
        <f t="shared" si="3"/>
        <v>Glenn County</v>
      </c>
      <c r="L50">
        <f t="shared" si="4"/>
        <v>9</v>
      </c>
      <c r="P50" t="s">
        <v>208</v>
      </c>
      <c r="Q50" s="20">
        <v>3</v>
      </c>
      <c r="T50" t="str">
        <f t="shared" si="5"/>
        <v>California</v>
      </c>
      <c r="U50" t="str">
        <f t="shared" si="6"/>
        <v>Glenn County</v>
      </c>
      <c r="V50">
        <f t="shared" si="7"/>
        <v>3</v>
      </c>
    </row>
    <row r="51" spans="7:22" x14ac:dyDescent="0.3">
      <c r="G51" t="s">
        <v>587</v>
      </c>
      <c r="H51" s="20">
        <v>49</v>
      </c>
      <c r="J51" t="str">
        <f t="shared" si="2"/>
        <v>California</v>
      </c>
      <c r="K51" t="str">
        <f t="shared" si="3"/>
        <v>Humboldt County</v>
      </c>
      <c r="L51">
        <f t="shared" si="4"/>
        <v>49</v>
      </c>
      <c r="P51" t="s">
        <v>587</v>
      </c>
      <c r="Q51" s="20">
        <v>12</v>
      </c>
      <c r="T51" t="str">
        <f t="shared" si="5"/>
        <v>California</v>
      </c>
      <c r="U51" t="str">
        <f t="shared" si="6"/>
        <v>Humboldt County</v>
      </c>
      <c r="V51">
        <f t="shared" si="7"/>
        <v>12</v>
      </c>
    </row>
    <row r="52" spans="7:22" x14ac:dyDescent="0.3">
      <c r="G52" t="s">
        <v>331</v>
      </c>
      <c r="H52" s="20">
        <v>59</v>
      </c>
      <c r="J52" t="str">
        <f t="shared" si="2"/>
        <v>California</v>
      </c>
      <c r="K52" t="str">
        <f t="shared" si="3"/>
        <v>Imperial County</v>
      </c>
      <c r="L52">
        <f t="shared" si="4"/>
        <v>59</v>
      </c>
      <c r="P52" t="s">
        <v>331</v>
      </c>
      <c r="Q52" s="20">
        <v>10</v>
      </c>
      <c r="T52" t="str">
        <f t="shared" si="5"/>
        <v>California</v>
      </c>
      <c r="U52" t="str">
        <f t="shared" si="6"/>
        <v>Imperial County</v>
      </c>
      <c r="V52">
        <f t="shared" si="7"/>
        <v>10</v>
      </c>
    </row>
    <row r="53" spans="7:22" x14ac:dyDescent="0.3">
      <c r="G53" t="s">
        <v>86</v>
      </c>
      <c r="H53" s="20">
        <v>8</v>
      </c>
      <c r="J53" t="str">
        <f t="shared" si="2"/>
        <v>California</v>
      </c>
      <c r="K53" t="str">
        <f t="shared" si="3"/>
        <v>Inyo County</v>
      </c>
      <c r="L53">
        <f t="shared" si="4"/>
        <v>8</v>
      </c>
      <c r="P53" t="s">
        <v>86</v>
      </c>
      <c r="Q53" s="20">
        <v>2</v>
      </c>
      <c r="T53" t="str">
        <f t="shared" si="5"/>
        <v>California</v>
      </c>
      <c r="U53" t="str">
        <f t="shared" si="6"/>
        <v>Inyo County</v>
      </c>
      <c r="V53">
        <f t="shared" si="7"/>
        <v>2</v>
      </c>
    </row>
    <row r="54" spans="7:22" x14ac:dyDescent="0.3">
      <c r="G54" t="s">
        <v>147</v>
      </c>
      <c r="H54" s="20">
        <v>222</v>
      </c>
      <c r="J54" t="str">
        <f t="shared" si="2"/>
        <v>California</v>
      </c>
      <c r="K54" t="str">
        <f t="shared" si="3"/>
        <v>Kern County</v>
      </c>
      <c r="L54">
        <f t="shared" si="4"/>
        <v>222</v>
      </c>
      <c r="P54" t="s">
        <v>147</v>
      </c>
      <c r="Q54" s="20">
        <v>56</v>
      </c>
      <c r="T54" t="str">
        <f t="shared" si="5"/>
        <v>California</v>
      </c>
      <c r="U54" t="str">
        <f t="shared" si="6"/>
        <v>Kern County</v>
      </c>
      <c r="V54">
        <f t="shared" si="7"/>
        <v>56</v>
      </c>
    </row>
    <row r="55" spans="7:22" x14ac:dyDescent="0.3">
      <c r="G55" t="s">
        <v>334</v>
      </c>
      <c r="H55" s="20">
        <v>36</v>
      </c>
      <c r="J55" t="str">
        <f t="shared" si="2"/>
        <v>California</v>
      </c>
      <c r="K55" t="str">
        <f t="shared" si="3"/>
        <v>Kings County</v>
      </c>
      <c r="L55">
        <f t="shared" si="4"/>
        <v>36</v>
      </c>
      <c r="P55" t="s">
        <v>334</v>
      </c>
      <c r="Q55" s="20">
        <v>14</v>
      </c>
      <c r="T55" t="str">
        <f t="shared" si="5"/>
        <v>California</v>
      </c>
      <c r="U55" t="str">
        <f t="shared" si="6"/>
        <v>Kings County</v>
      </c>
      <c r="V55">
        <f t="shared" si="7"/>
        <v>14</v>
      </c>
    </row>
    <row r="56" spans="7:22" x14ac:dyDescent="0.3">
      <c r="G56" t="s">
        <v>949</v>
      </c>
      <c r="H56" s="20">
        <v>30</v>
      </c>
      <c r="J56" t="str">
        <f t="shared" si="2"/>
        <v>California</v>
      </c>
      <c r="K56" t="str">
        <f t="shared" si="3"/>
        <v>Lake County</v>
      </c>
      <c r="L56">
        <f t="shared" si="4"/>
        <v>30</v>
      </c>
      <c r="P56" t="s">
        <v>949</v>
      </c>
      <c r="Q56" s="20">
        <v>6</v>
      </c>
      <c r="T56" t="str">
        <f t="shared" si="5"/>
        <v>California</v>
      </c>
      <c r="U56" t="str">
        <f t="shared" si="6"/>
        <v>Lake County</v>
      </c>
      <c r="V56">
        <f t="shared" si="7"/>
        <v>6</v>
      </c>
    </row>
    <row r="57" spans="7:22" x14ac:dyDescent="0.3">
      <c r="G57" t="s">
        <v>1426</v>
      </c>
      <c r="H57" s="20">
        <v>1</v>
      </c>
      <c r="J57" t="str">
        <f t="shared" si="2"/>
        <v>California</v>
      </c>
      <c r="K57" t="str">
        <f t="shared" si="3"/>
        <v>Lassen County</v>
      </c>
      <c r="L57">
        <f t="shared" si="4"/>
        <v>1</v>
      </c>
      <c r="P57" t="s">
        <v>1426</v>
      </c>
      <c r="Q57" s="20">
        <v>1</v>
      </c>
      <c r="T57" t="str">
        <f t="shared" si="5"/>
        <v>California</v>
      </c>
      <c r="U57" t="str">
        <f t="shared" si="6"/>
        <v>Lassen County</v>
      </c>
      <c r="V57">
        <f t="shared" si="7"/>
        <v>1</v>
      </c>
    </row>
    <row r="58" spans="7:22" x14ac:dyDescent="0.3">
      <c r="G58" t="s">
        <v>33</v>
      </c>
      <c r="H58" s="20">
        <v>3991</v>
      </c>
      <c r="J58" t="str">
        <f t="shared" si="2"/>
        <v>California</v>
      </c>
      <c r="K58" t="str">
        <f t="shared" si="3"/>
        <v>Los Angeles County</v>
      </c>
      <c r="L58">
        <f t="shared" si="4"/>
        <v>3991</v>
      </c>
      <c r="P58" t="s">
        <v>33</v>
      </c>
      <c r="Q58" s="20">
        <v>781</v>
      </c>
      <c r="T58" t="str">
        <f t="shared" si="5"/>
        <v>California</v>
      </c>
      <c r="U58" t="str">
        <f t="shared" si="6"/>
        <v>Los Angeles County</v>
      </c>
      <c r="V58">
        <f t="shared" si="7"/>
        <v>781</v>
      </c>
    </row>
    <row r="59" spans="7:22" x14ac:dyDescent="0.3">
      <c r="G59" t="s">
        <v>364</v>
      </c>
      <c r="H59" s="20">
        <v>45</v>
      </c>
      <c r="J59" t="str">
        <f t="shared" si="2"/>
        <v>California</v>
      </c>
      <c r="K59" t="str">
        <f t="shared" si="3"/>
        <v>Madera County</v>
      </c>
      <c r="L59">
        <f t="shared" si="4"/>
        <v>45</v>
      </c>
      <c r="P59" t="s">
        <v>364</v>
      </c>
      <c r="Q59" s="20">
        <v>10</v>
      </c>
      <c r="T59" t="str">
        <f t="shared" si="5"/>
        <v>California</v>
      </c>
      <c r="U59" t="str">
        <f t="shared" si="6"/>
        <v>Madera County</v>
      </c>
      <c r="V59">
        <f t="shared" si="7"/>
        <v>10</v>
      </c>
    </row>
    <row r="60" spans="7:22" x14ac:dyDescent="0.3">
      <c r="G60" t="s">
        <v>545</v>
      </c>
      <c r="H60" s="20">
        <v>39</v>
      </c>
      <c r="J60" t="str">
        <f t="shared" si="2"/>
        <v>California</v>
      </c>
      <c r="K60" t="str">
        <f t="shared" si="3"/>
        <v>Marin County</v>
      </c>
      <c r="L60">
        <f t="shared" si="4"/>
        <v>39</v>
      </c>
      <c r="P60" t="s">
        <v>545</v>
      </c>
      <c r="Q60" s="20">
        <v>8</v>
      </c>
      <c r="T60" t="str">
        <f t="shared" si="5"/>
        <v>California</v>
      </c>
      <c r="U60" t="str">
        <f t="shared" si="6"/>
        <v>Marin County</v>
      </c>
      <c r="V60">
        <f t="shared" si="7"/>
        <v>8</v>
      </c>
    </row>
    <row r="61" spans="7:22" x14ac:dyDescent="0.3">
      <c r="G61" t="s">
        <v>416</v>
      </c>
      <c r="H61" s="20">
        <v>6</v>
      </c>
      <c r="J61" t="str">
        <f t="shared" si="2"/>
        <v>California</v>
      </c>
      <c r="K61" t="str">
        <f t="shared" si="3"/>
        <v>Mariposa County</v>
      </c>
      <c r="L61">
        <f t="shared" si="4"/>
        <v>6</v>
      </c>
      <c r="P61" t="s">
        <v>416</v>
      </c>
      <c r="Q61" s="20">
        <v>2</v>
      </c>
      <c r="T61" t="str">
        <f t="shared" si="5"/>
        <v>California</v>
      </c>
      <c r="U61" t="str">
        <f t="shared" si="6"/>
        <v>Mariposa County</v>
      </c>
      <c r="V61">
        <f t="shared" si="7"/>
        <v>2</v>
      </c>
    </row>
    <row r="62" spans="7:22" x14ac:dyDescent="0.3">
      <c r="G62" t="s">
        <v>258</v>
      </c>
      <c r="H62" s="20">
        <v>9</v>
      </c>
      <c r="J62" t="str">
        <f t="shared" si="2"/>
        <v>California</v>
      </c>
      <c r="K62" t="str">
        <f t="shared" si="3"/>
        <v>Mendocino County</v>
      </c>
      <c r="L62">
        <f t="shared" si="4"/>
        <v>9</v>
      </c>
      <c r="P62" t="s">
        <v>258</v>
      </c>
      <c r="Q62" s="20">
        <v>3</v>
      </c>
      <c r="T62" t="str">
        <f t="shared" si="5"/>
        <v>California</v>
      </c>
      <c r="U62" t="str">
        <f t="shared" si="6"/>
        <v>Mendocino County</v>
      </c>
      <c r="V62">
        <f t="shared" si="7"/>
        <v>3</v>
      </c>
    </row>
    <row r="63" spans="7:22" x14ac:dyDescent="0.3">
      <c r="G63" t="s">
        <v>186</v>
      </c>
      <c r="H63" s="20">
        <v>60</v>
      </c>
      <c r="J63" t="str">
        <f t="shared" si="2"/>
        <v>California</v>
      </c>
      <c r="K63" t="str">
        <f t="shared" si="3"/>
        <v>Merced County</v>
      </c>
      <c r="L63">
        <f t="shared" si="4"/>
        <v>60</v>
      </c>
      <c r="P63" t="s">
        <v>186</v>
      </c>
      <c r="Q63" s="20">
        <v>15</v>
      </c>
      <c r="T63" t="str">
        <f t="shared" si="5"/>
        <v>California</v>
      </c>
      <c r="U63" t="str">
        <f t="shared" si="6"/>
        <v>Merced County</v>
      </c>
      <c r="V63">
        <f t="shared" si="7"/>
        <v>15</v>
      </c>
    </row>
    <row r="64" spans="7:22" x14ac:dyDescent="0.3">
      <c r="G64" t="s">
        <v>392</v>
      </c>
      <c r="H64" s="20">
        <v>2</v>
      </c>
      <c r="J64" t="str">
        <f t="shared" si="2"/>
        <v>California</v>
      </c>
      <c r="K64" t="str">
        <f t="shared" si="3"/>
        <v>Modoc County</v>
      </c>
      <c r="L64">
        <f t="shared" si="4"/>
        <v>2</v>
      </c>
      <c r="P64" t="s">
        <v>392</v>
      </c>
      <c r="Q64" s="20">
        <v>1</v>
      </c>
      <c r="T64" t="str">
        <f t="shared" si="5"/>
        <v>California</v>
      </c>
      <c r="U64" t="str">
        <f t="shared" si="6"/>
        <v>Modoc County</v>
      </c>
      <c r="V64">
        <f t="shared" si="7"/>
        <v>1</v>
      </c>
    </row>
    <row r="65" spans="7:22" x14ac:dyDescent="0.3">
      <c r="G65" t="s">
        <v>670</v>
      </c>
      <c r="H65" s="20">
        <v>4</v>
      </c>
      <c r="J65" t="str">
        <f t="shared" si="2"/>
        <v>California</v>
      </c>
      <c r="K65" t="str">
        <f t="shared" si="3"/>
        <v>Mono County</v>
      </c>
      <c r="L65">
        <f t="shared" si="4"/>
        <v>4</v>
      </c>
      <c r="P65" t="s">
        <v>670</v>
      </c>
      <c r="Q65" s="20">
        <v>1</v>
      </c>
      <c r="T65" t="str">
        <f t="shared" si="5"/>
        <v>California</v>
      </c>
      <c r="U65" t="str">
        <f t="shared" si="6"/>
        <v>Mono County</v>
      </c>
      <c r="V65">
        <f t="shared" si="7"/>
        <v>1</v>
      </c>
    </row>
    <row r="66" spans="7:22" x14ac:dyDescent="0.3">
      <c r="G66" t="s">
        <v>802</v>
      </c>
      <c r="H66" s="20">
        <v>31</v>
      </c>
      <c r="J66" t="str">
        <f t="shared" si="2"/>
        <v>California</v>
      </c>
      <c r="K66" t="str">
        <f t="shared" si="3"/>
        <v>Monterey County</v>
      </c>
      <c r="L66">
        <f t="shared" si="4"/>
        <v>31</v>
      </c>
      <c r="P66" t="s">
        <v>802</v>
      </c>
      <c r="Q66" s="20">
        <v>5</v>
      </c>
      <c r="T66" t="str">
        <f t="shared" si="5"/>
        <v>California</v>
      </c>
      <c r="U66" t="str">
        <f t="shared" si="6"/>
        <v>Monterey County</v>
      </c>
      <c r="V66">
        <f t="shared" si="7"/>
        <v>5</v>
      </c>
    </row>
    <row r="67" spans="7:22" x14ac:dyDescent="0.3">
      <c r="G67" t="s">
        <v>98</v>
      </c>
      <c r="H67" s="20">
        <v>88</v>
      </c>
      <c r="J67" t="str">
        <f t="shared" si="2"/>
        <v>California</v>
      </c>
      <c r="K67" t="str">
        <f t="shared" si="3"/>
        <v>Napa County</v>
      </c>
      <c r="L67">
        <f t="shared" si="4"/>
        <v>88</v>
      </c>
      <c r="P67" t="s">
        <v>98</v>
      </c>
      <c r="Q67" s="20">
        <v>12</v>
      </c>
      <c r="T67" t="str">
        <f t="shared" si="5"/>
        <v>California</v>
      </c>
      <c r="U67" t="str">
        <f t="shared" si="6"/>
        <v>Napa County</v>
      </c>
      <c r="V67">
        <f t="shared" si="7"/>
        <v>12</v>
      </c>
    </row>
    <row r="68" spans="7:22" x14ac:dyDescent="0.3">
      <c r="G68" t="s">
        <v>49</v>
      </c>
      <c r="H68" s="20">
        <v>25</v>
      </c>
      <c r="J68" t="str">
        <f t="shared" si="2"/>
        <v>California</v>
      </c>
      <c r="K68" t="str">
        <f t="shared" si="3"/>
        <v>Nevada County</v>
      </c>
      <c r="L68">
        <f t="shared" si="4"/>
        <v>25</v>
      </c>
      <c r="P68" t="s">
        <v>49</v>
      </c>
      <c r="Q68" s="20">
        <v>8</v>
      </c>
      <c r="T68" t="str">
        <f t="shared" si="5"/>
        <v>California</v>
      </c>
      <c r="U68" t="str">
        <f t="shared" si="6"/>
        <v>Nevada County</v>
      </c>
      <c r="V68">
        <f t="shared" si="7"/>
        <v>8</v>
      </c>
    </row>
    <row r="69" spans="7:22" x14ac:dyDescent="0.3">
      <c r="G69" t="s">
        <v>188</v>
      </c>
      <c r="H69" s="20">
        <v>178</v>
      </c>
      <c r="J69" t="str">
        <f t="shared" si="2"/>
        <v>California</v>
      </c>
      <c r="K69" t="str">
        <f t="shared" si="3"/>
        <v>Orange County</v>
      </c>
      <c r="L69">
        <f t="shared" si="4"/>
        <v>178</v>
      </c>
      <c r="P69" t="s">
        <v>188</v>
      </c>
      <c r="Q69" s="20">
        <v>32</v>
      </c>
      <c r="T69" t="str">
        <f t="shared" si="5"/>
        <v>California</v>
      </c>
      <c r="U69" t="str">
        <f t="shared" si="6"/>
        <v>Orange County</v>
      </c>
      <c r="V69">
        <f t="shared" si="7"/>
        <v>32</v>
      </c>
    </row>
    <row r="70" spans="7:22" x14ac:dyDescent="0.3">
      <c r="G70" t="s">
        <v>52</v>
      </c>
      <c r="H70" s="20">
        <v>141</v>
      </c>
      <c r="J70" t="str">
        <f t="shared" si="2"/>
        <v>California</v>
      </c>
      <c r="K70" t="str">
        <f t="shared" si="3"/>
        <v>Placer County</v>
      </c>
      <c r="L70">
        <f t="shared" si="4"/>
        <v>141</v>
      </c>
      <c r="P70" t="s">
        <v>52</v>
      </c>
      <c r="Q70" s="20">
        <v>22</v>
      </c>
      <c r="T70" t="str">
        <f t="shared" si="5"/>
        <v>California</v>
      </c>
      <c r="U70" t="str">
        <f t="shared" si="6"/>
        <v>Placer County</v>
      </c>
      <c r="V70">
        <f t="shared" si="7"/>
        <v>22</v>
      </c>
    </row>
    <row r="71" spans="7:22" x14ac:dyDescent="0.3">
      <c r="G71" t="s">
        <v>338</v>
      </c>
      <c r="H71" s="20">
        <v>6</v>
      </c>
      <c r="J71" t="str">
        <f t="shared" si="2"/>
        <v>California</v>
      </c>
      <c r="K71" t="str">
        <f t="shared" si="3"/>
        <v>Plumas County</v>
      </c>
      <c r="L71">
        <f t="shared" si="4"/>
        <v>6</v>
      </c>
      <c r="P71" t="s">
        <v>338</v>
      </c>
      <c r="Q71" s="20">
        <v>2</v>
      </c>
      <c r="T71" t="str">
        <f t="shared" si="5"/>
        <v>California</v>
      </c>
      <c r="U71" t="str">
        <f t="shared" si="6"/>
        <v>Plumas County</v>
      </c>
      <c r="V71">
        <f t="shared" si="7"/>
        <v>2</v>
      </c>
    </row>
    <row r="72" spans="7:22" x14ac:dyDescent="0.3">
      <c r="G72" t="s">
        <v>158</v>
      </c>
      <c r="H72" s="20">
        <v>178</v>
      </c>
      <c r="J72" t="str">
        <f t="shared" si="2"/>
        <v>California</v>
      </c>
      <c r="K72" t="str">
        <f t="shared" si="3"/>
        <v>Riverside County</v>
      </c>
      <c r="L72">
        <f t="shared" si="4"/>
        <v>178</v>
      </c>
      <c r="P72" t="s">
        <v>158</v>
      </c>
      <c r="Q72" s="20">
        <v>26</v>
      </c>
      <c r="T72" t="str">
        <f t="shared" si="5"/>
        <v>California</v>
      </c>
      <c r="U72" t="str">
        <f t="shared" si="6"/>
        <v>Riverside County</v>
      </c>
      <c r="V72">
        <f t="shared" si="7"/>
        <v>26</v>
      </c>
    </row>
    <row r="73" spans="7:22" x14ac:dyDescent="0.3">
      <c r="G73" t="s">
        <v>55</v>
      </c>
      <c r="H73" s="20">
        <v>699</v>
      </c>
      <c r="J73" t="str">
        <f t="shared" si="2"/>
        <v>California</v>
      </c>
      <c r="K73" t="str">
        <f t="shared" si="3"/>
        <v>Sacramento County</v>
      </c>
      <c r="L73">
        <f t="shared" si="4"/>
        <v>699</v>
      </c>
      <c r="P73" t="s">
        <v>55</v>
      </c>
      <c r="Q73" s="20">
        <v>162</v>
      </c>
      <c r="T73" t="str">
        <f t="shared" si="5"/>
        <v>California</v>
      </c>
      <c r="U73" t="str">
        <f t="shared" si="6"/>
        <v>Sacramento County</v>
      </c>
      <c r="V73">
        <f t="shared" si="7"/>
        <v>162</v>
      </c>
    </row>
    <row r="74" spans="7:22" x14ac:dyDescent="0.3">
      <c r="G74" t="s">
        <v>342</v>
      </c>
      <c r="H74" s="20">
        <v>23</v>
      </c>
      <c r="J74" t="str">
        <f t="shared" si="2"/>
        <v>California</v>
      </c>
      <c r="K74" t="str">
        <f t="shared" si="3"/>
        <v>San Benito County</v>
      </c>
      <c r="L74">
        <f t="shared" si="4"/>
        <v>23</v>
      </c>
      <c r="P74" t="s">
        <v>342</v>
      </c>
      <c r="Q74" s="20">
        <v>6</v>
      </c>
      <c r="T74" t="str">
        <f t="shared" si="5"/>
        <v>California</v>
      </c>
      <c r="U74" t="str">
        <f t="shared" si="6"/>
        <v>San Benito County</v>
      </c>
      <c r="V74">
        <f t="shared" si="7"/>
        <v>6</v>
      </c>
    </row>
    <row r="75" spans="7:22" x14ac:dyDescent="0.3">
      <c r="G75" t="s">
        <v>59</v>
      </c>
      <c r="H75" s="20">
        <v>356</v>
      </c>
      <c r="J75" t="str">
        <f t="shared" si="2"/>
        <v>California</v>
      </c>
      <c r="K75" t="str">
        <f t="shared" si="3"/>
        <v>San Bernardino County</v>
      </c>
      <c r="L75">
        <f t="shared" si="4"/>
        <v>356</v>
      </c>
      <c r="P75" t="s">
        <v>59</v>
      </c>
      <c r="Q75" s="20">
        <v>67</v>
      </c>
      <c r="T75" t="str">
        <f t="shared" si="5"/>
        <v>California</v>
      </c>
      <c r="U75" t="str">
        <f t="shared" si="6"/>
        <v>San Bernardino County</v>
      </c>
      <c r="V75">
        <f t="shared" si="7"/>
        <v>67</v>
      </c>
    </row>
    <row r="76" spans="7:22" x14ac:dyDescent="0.3">
      <c r="G76" t="s">
        <v>62</v>
      </c>
      <c r="H76" s="20">
        <v>1768</v>
      </c>
      <c r="J76" t="str">
        <f t="shared" si="2"/>
        <v>California</v>
      </c>
      <c r="K76" t="str">
        <f t="shared" si="3"/>
        <v>San Diego County</v>
      </c>
      <c r="L76">
        <f t="shared" si="4"/>
        <v>1768</v>
      </c>
      <c r="P76" t="s">
        <v>62</v>
      </c>
      <c r="Q76" s="20">
        <v>330</v>
      </c>
      <c r="T76" t="str">
        <f t="shared" si="5"/>
        <v>California</v>
      </c>
      <c r="U76" t="str">
        <f t="shared" si="6"/>
        <v>San Diego County</v>
      </c>
      <c r="V76">
        <f t="shared" si="7"/>
        <v>330</v>
      </c>
    </row>
    <row r="77" spans="7:22" x14ac:dyDescent="0.3">
      <c r="G77" t="s">
        <v>103</v>
      </c>
      <c r="H77" s="20">
        <v>307</v>
      </c>
      <c r="J77" t="str">
        <f t="shared" si="2"/>
        <v>California</v>
      </c>
      <c r="K77" t="str">
        <f t="shared" si="3"/>
        <v>San Francisco</v>
      </c>
      <c r="L77">
        <f t="shared" si="4"/>
        <v>307</v>
      </c>
      <c r="P77" t="s">
        <v>103</v>
      </c>
      <c r="Q77" s="20">
        <v>58</v>
      </c>
      <c r="T77" t="str">
        <f t="shared" si="5"/>
        <v>California</v>
      </c>
      <c r="U77" t="str">
        <f t="shared" si="6"/>
        <v>San Francisco</v>
      </c>
      <c r="V77">
        <f t="shared" si="7"/>
        <v>58</v>
      </c>
    </row>
    <row r="78" spans="7:22" x14ac:dyDescent="0.3">
      <c r="G78" t="s">
        <v>201</v>
      </c>
      <c r="H78" s="20">
        <v>117</v>
      </c>
      <c r="J78" t="str">
        <f t="shared" si="2"/>
        <v>California</v>
      </c>
      <c r="K78" t="str">
        <f t="shared" si="3"/>
        <v>San Joaquin County</v>
      </c>
      <c r="L78">
        <f t="shared" si="4"/>
        <v>117</v>
      </c>
      <c r="P78" t="s">
        <v>201</v>
      </c>
      <c r="Q78" s="20">
        <v>17</v>
      </c>
      <c r="T78" t="str">
        <f t="shared" si="5"/>
        <v>California</v>
      </c>
      <c r="U78" t="str">
        <f t="shared" si="6"/>
        <v>San Joaquin County</v>
      </c>
      <c r="V78">
        <f t="shared" si="7"/>
        <v>17</v>
      </c>
    </row>
    <row r="79" spans="7:22" x14ac:dyDescent="0.3">
      <c r="G79" t="s">
        <v>429</v>
      </c>
      <c r="H79" s="20">
        <v>13</v>
      </c>
      <c r="J79" t="str">
        <f t="shared" si="2"/>
        <v>California</v>
      </c>
      <c r="K79" t="str">
        <f t="shared" si="3"/>
        <v>San Luis Obispo County</v>
      </c>
      <c r="L79">
        <f t="shared" si="4"/>
        <v>13</v>
      </c>
      <c r="P79" t="s">
        <v>429</v>
      </c>
      <c r="Q79" s="20">
        <v>3</v>
      </c>
      <c r="T79" t="str">
        <f t="shared" si="5"/>
        <v>California</v>
      </c>
      <c r="U79" t="str">
        <f t="shared" si="6"/>
        <v>San Luis Obispo County</v>
      </c>
      <c r="V79">
        <f t="shared" si="7"/>
        <v>3</v>
      </c>
    </row>
    <row r="80" spans="7:22" x14ac:dyDescent="0.3">
      <c r="G80" t="s">
        <v>72</v>
      </c>
      <c r="H80" s="20">
        <v>364</v>
      </c>
      <c r="J80" t="str">
        <f t="shared" si="2"/>
        <v>California</v>
      </c>
      <c r="K80" t="str">
        <f t="shared" si="3"/>
        <v>San Mateo County</v>
      </c>
      <c r="L80">
        <f t="shared" si="4"/>
        <v>364</v>
      </c>
      <c r="P80" t="s">
        <v>72</v>
      </c>
      <c r="Q80" s="20">
        <v>67</v>
      </c>
      <c r="T80" t="str">
        <f t="shared" si="5"/>
        <v>California</v>
      </c>
      <c r="U80" t="str">
        <f t="shared" si="6"/>
        <v>San Mateo County</v>
      </c>
      <c r="V80">
        <f t="shared" si="7"/>
        <v>67</v>
      </c>
    </row>
    <row r="81" spans="7:22" x14ac:dyDescent="0.3">
      <c r="G81" t="s">
        <v>74</v>
      </c>
      <c r="H81" s="20">
        <v>95</v>
      </c>
      <c r="J81" t="str">
        <f t="shared" si="2"/>
        <v>California</v>
      </c>
      <c r="K81" t="str">
        <f t="shared" si="3"/>
        <v>Santa Barbara County</v>
      </c>
      <c r="L81">
        <f t="shared" si="4"/>
        <v>95</v>
      </c>
      <c r="P81" t="s">
        <v>74</v>
      </c>
      <c r="Q81" s="20">
        <v>27</v>
      </c>
      <c r="T81" t="str">
        <f t="shared" si="5"/>
        <v>California</v>
      </c>
      <c r="U81" t="str">
        <f t="shared" si="6"/>
        <v>Santa Barbara County</v>
      </c>
      <c r="V81">
        <f t="shared" si="7"/>
        <v>27</v>
      </c>
    </row>
    <row r="82" spans="7:22" x14ac:dyDescent="0.3">
      <c r="G82" t="s">
        <v>77</v>
      </c>
      <c r="H82" s="20">
        <v>737</v>
      </c>
      <c r="J82" t="str">
        <f t="shared" si="2"/>
        <v>California</v>
      </c>
      <c r="K82" t="str">
        <f t="shared" si="3"/>
        <v>Santa Clara County</v>
      </c>
      <c r="L82">
        <f t="shared" si="4"/>
        <v>737</v>
      </c>
      <c r="P82" t="s">
        <v>77</v>
      </c>
      <c r="Q82" s="20">
        <v>135</v>
      </c>
      <c r="T82" t="str">
        <f t="shared" si="5"/>
        <v>California</v>
      </c>
      <c r="U82" t="str">
        <f t="shared" si="6"/>
        <v>Santa Clara County</v>
      </c>
      <c r="V82">
        <f t="shared" si="7"/>
        <v>135</v>
      </c>
    </row>
    <row r="83" spans="7:22" x14ac:dyDescent="0.3">
      <c r="G83" t="s">
        <v>309</v>
      </c>
      <c r="H83" s="20">
        <v>39</v>
      </c>
      <c r="J83" t="str">
        <f t="shared" si="2"/>
        <v>California</v>
      </c>
      <c r="K83" t="str">
        <f t="shared" si="3"/>
        <v>Santa Cruz County</v>
      </c>
      <c r="L83">
        <f t="shared" si="4"/>
        <v>39</v>
      </c>
      <c r="P83" t="s">
        <v>309</v>
      </c>
      <c r="Q83" s="20">
        <v>6</v>
      </c>
      <c r="T83" t="str">
        <f t="shared" si="5"/>
        <v>California</v>
      </c>
      <c r="U83" t="str">
        <f t="shared" si="6"/>
        <v>Santa Cruz County</v>
      </c>
      <c r="V83">
        <f t="shared" si="7"/>
        <v>6</v>
      </c>
    </row>
    <row r="84" spans="7:22" x14ac:dyDescent="0.3">
      <c r="G84" t="s">
        <v>1116</v>
      </c>
      <c r="H84" s="20">
        <v>56</v>
      </c>
      <c r="J84" t="str">
        <f t="shared" si="2"/>
        <v>California</v>
      </c>
      <c r="K84" t="str">
        <f t="shared" si="3"/>
        <v>Shasta County</v>
      </c>
      <c r="L84">
        <f t="shared" si="4"/>
        <v>56</v>
      </c>
      <c r="P84" t="s">
        <v>1116</v>
      </c>
      <c r="Q84" s="20">
        <v>8</v>
      </c>
      <c r="T84" t="str">
        <f t="shared" si="5"/>
        <v>California</v>
      </c>
      <c r="U84" t="str">
        <f t="shared" si="6"/>
        <v>Shasta County</v>
      </c>
      <c r="V84">
        <f t="shared" si="7"/>
        <v>8</v>
      </c>
    </row>
    <row r="85" spans="7:22" x14ac:dyDescent="0.3">
      <c r="G85" t="s">
        <v>700</v>
      </c>
      <c r="H85" s="20">
        <v>2</v>
      </c>
      <c r="J85" t="str">
        <f t="shared" si="2"/>
        <v>California</v>
      </c>
      <c r="K85" t="str">
        <f t="shared" si="3"/>
        <v>Sierra County</v>
      </c>
      <c r="L85">
        <f t="shared" si="4"/>
        <v>2</v>
      </c>
      <c r="P85" t="s">
        <v>700</v>
      </c>
      <c r="Q85" s="20">
        <v>1</v>
      </c>
      <c r="T85" t="str">
        <f t="shared" si="5"/>
        <v>California</v>
      </c>
      <c r="U85" t="str">
        <f t="shared" si="6"/>
        <v>Sierra County</v>
      </c>
      <c r="V85">
        <f t="shared" si="7"/>
        <v>1</v>
      </c>
    </row>
    <row r="86" spans="7:22" x14ac:dyDescent="0.3">
      <c r="G86" t="s">
        <v>268</v>
      </c>
      <c r="H86" s="20">
        <v>8</v>
      </c>
      <c r="J86" t="str">
        <f t="shared" si="2"/>
        <v>California</v>
      </c>
      <c r="K86" t="str">
        <f t="shared" si="3"/>
        <v>Siskiyou County</v>
      </c>
      <c r="L86">
        <f t="shared" si="4"/>
        <v>8</v>
      </c>
      <c r="P86" t="s">
        <v>268</v>
      </c>
      <c r="Q86" s="20">
        <v>4</v>
      </c>
      <c r="T86" t="str">
        <f t="shared" si="5"/>
        <v>California</v>
      </c>
      <c r="U86" t="str">
        <f t="shared" si="6"/>
        <v>Siskiyou County</v>
      </c>
      <c r="V86">
        <f t="shared" si="7"/>
        <v>4</v>
      </c>
    </row>
    <row r="87" spans="7:22" x14ac:dyDescent="0.3">
      <c r="G87" t="s">
        <v>377</v>
      </c>
      <c r="H87" s="20">
        <v>52</v>
      </c>
      <c r="J87" t="str">
        <f t="shared" si="2"/>
        <v>California</v>
      </c>
      <c r="K87" t="str">
        <f t="shared" si="3"/>
        <v>Solano County</v>
      </c>
      <c r="L87">
        <f t="shared" si="4"/>
        <v>52</v>
      </c>
      <c r="P87" t="s">
        <v>377</v>
      </c>
      <c r="Q87" s="20">
        <v>5</v>
      </c>
      <c r="T87" t="str">
        <f t="shared" si="5"/>
        <v>California</v>
      </c>
      <c r="U87" t="str">
        <f t="shared" si="6"/>
        <v>Solano County</v>
      </c>
      <c r="V87">
        <f t="shared" si="7"/>
        <v>5</v>
      </c>
    </row>
    <row r="88" spans="7:22" x14ac:dyDescent="0.3">
      <c r="G88" t="s">
        <v>108</v>
      </c>
      <c r="H88" s="20">
        <v>295</v>
      </c>
      <c r="J88" t="str">
        <f t="shared" si="2"/>
        <v>California</v>
      </c>
      <c r="K88" t="str">
        <f t="shared" si="3"/>
        <v>Sonoma County</v>
      </c>
      <c r="L88">
        <f t="shared" si="4"/>
        <v>295</v>
      </c>
      <c r="P88" t="s">
        <v>108</v>
      </c>
      <c r="Q88" s="20">
        <v>44</v>
      </c>
      <c r="T88" t="str">
        <f t="shared" si="5"/>
        <v>California</v>
      </c>
      <c r="U88" t="str">
        <f t="shared" si="6"/>
        <v>Sonoma County</v>
      </c>
      <c r="V88">
        <f t="shared" si="7"/>
        <v>44</v>
      </c>
    </row>
    <row r="89" spans="7:22" x14ac:dyDescent="0.3">
      <c r="G89" t="s">
        <v>110</v>
      </c>
      <c r="H89" s="20">
        <v>195</v>
      </c>
      <c r="J89" t="str">
        <f t="shared" si="2"/>
        <v>California</v>
      </c>
      <c r="K89" t="str">
        <f t="shared" si="3"/>
        <v>Stanislaus County</v>
      </c>
      <c r="L89">
        <f t="shared" si="4"/>
        <v>195</v>
      </c>
      <c r="P89" t="s">
        <v>110</v>
      </c>
      <c r="Q89" s="20">
        <v>51</v>
      </c>
      <c r="T89" t="str">
        <f t="shared" si="5"/>
        <v>California</v>
      </c>
      <c r="U89" t="str">
        <f t="shared" si="6"/>
        <v>Stanislaus County</v>
      </c>
      <c r="V89">
        <f t="shared" si="7"/>
        <v>51</v>
      </c>
    </row>
    <row r="90" spans="7:22" x14ac:dyDescent="0.3">
      <c r="G90" t="s">
        <v>292</v>
      </c>
      <c r="H90" s="20">
        <v>20</v>
      </c>
      <c r="J90" t="str">
        <f t="shared" si="2"/>
        <v>California</v>
      </c>
      <c r="K90" t="str">
        <f t="shared" si="3"/>
        <v>Sutter County</v>
      </c>
      <c r="L90">
        <f t="shared" si="4"/>
        <v>20</v>
      </c>
      <c r="P90" t="s">
        <v>292</v>
      </c>
      <c r="Q90" s="20">
        <v>7</v>
      </c>
      <c r="T90" t="str">
        <f t="shared" si="5"/>
        <v>California</v>
      </c>
      <c r="U90" t="str">
        <f t="shared" si="6"/>
        <v>Sutter County</v>
      </c>
      <c r="V90">
        <f t="shared" si="7"/>
        <v>7</v>
      </c>
    </row>
    <row r="91" spans="7:22" x14ac:dyDescent="0.3">
      <c r="G91" t="s">
        <v>79</v>
      </c>
      <c r="H91" s="20">
        <v>6</v>
      </c>
      <c r="J91" t="str">
        <f t="shared" si="2"/>
        <v>California</v>
      </c>
      <c r="K91" t="str">
        <f t="shared" si="3"/>
        <v>Tehama County</v>
      </c>
      <c r="L91">
        <f t="shared" si="4"/>
        <v>6</v>
      </c>
      <c r="P91" t="s">
        <v>79</v>
      </c>
      <c r="Q91" s="20">
        <v>2</v>
      </c>
      <c r="T91" t="str">
        <f t="shared" si="5"/>
        <v>California</v>
      </c>
      <c r="U91" t="str">
        <f t="shared" si="6"/>
        <v>Tehama County</v>
      </c>
      <c r="V91">
        <f t="shared" si="7"/>
        <v>2</v>
      </c>
    </row>
    <row r="92" spans="7:22" x14ac:dyDescent="0.3">
      <c r="G92" t="s">
        <v>608</v>
      </c>
      <c r="H92" s="20">
        <v>5</v>
      </c>
      <c r="J92" t="str">
        <f t="shared" si="2"/>
        <v>California</v>
      </c>
      <c r="K92" t="str">
        <f t="shared" si="3"/>
        <v>Trinity County</v>
      </c>
      <c r="L92">
        <f t="shared" si="4"/>
        <v>5</v>
      </c>
      <c r="P92" t="s">
        <v>608</v>
      </c>
      <c r="Q92" s="20">
        <v>2</v>
      </c>
      <c r="T92" t="str">
        <f t="shared" si="5"/>
        <v>California</v>
      </c>
      <c r="U92" t="str">
        <f t="shared" si="6"/>
        <v>Trinity County</v>
      </c>
      <c r="V92">
        <f t="shared" si="7"/>
        <v>2</v>
      </c>
    </row>
    <row r="93" spans="7:22" x14ac:dyDescent="0.3">
      <c r="G93" t="s">
        <v>113</v>
      </c>
      <c r="H93" s="20">
        <v>94</v>
      </c>
      <c r="J93" t="str">
        <f t="shared" si="2"/>
        <v>California</v>
      </c>
      <c r="K93" t="str">
        <f t="shared" si="3"/>
        <v>Tulare County</v>
      </c>
      <c r="L93">
        <f t="shared" si="4"/>
        <v>94</v>
      </c>
      <c r="P93" t="s">
        <v>113</v>
      </c>
      <c r="Q93" s="20">
        <v>25</v>
      </c>
      <c r="T93" t="str">
        <f t="shared" si="5"/>
        <v>California</v>
      </c>
      <c r="U93" t="str">
        <f t="shared" si="6"/>
        <v>Tulare County</v>
      </c>
      <c r="V93">
        <f t="shared" si="7"/>
        <v>25</v>
      </c>
    </row>
    <row r="94" spans="7:22" x14ac:dyDescent="0.3">
      <c r="G94" t="s">
        <v>997</v>
      </c>
      <c r="H94" s="20">
        <v>28</v>
      </c>
      <c r="J94" t="str">
        <f t="shared" si="2"/>
        <v>California</v>
      </c>
      <c r="K94" t="str">
        <f t="shared" si="3"/>
        <v>Tuolumne County</v>
      </c>
      <c r="L94">
        <f t="shared" si="4"/>
        <v>28</v>
      </c>
      <c r="P94" t="s">
        <v>997</v>
      </c>
      <c r="Q94" s="20">
        <v>5</v>
      </c>
      <c r="T94" t="str">
        <f t="shared" si="5"/>
        <v>California</v>
      </c>
      <c r="U94" t="str">
        <f t="shared" si="6"/>
        <v>Tuolumne County</v>
      </c>
      <c r="V94">
        <f t="shared" si="7"/>
        <v>5</v>
      </c>
    </row>
    <row r="95" spans="7:22" x14ac:dyDescent="0.3">
      <c r="G95" t="s">
        <v>82</v>
      </c>
      <c r="H95" s="20">
        <v>179</v>
      </c>
      <c r="J95" t="str">
        <f t="shared" si="2"/>
        <v>California</v>
      </c>
      <c r="K95" t="str">
        <f t="shared" si="3"/>
        <v>Ventura County</v>
      </c>
      <c r="L95">
        <f t="shared" si="4"/>
        <v>179</v>
      </c>
      <c r="P95" t="s">
        <v>82</v>
      </c>
      <c r="Q95" s="20">
        <v>42</v>
      </c>
      <c r="T95" t="str">
        <f t="shared" si="5"/>
        <v>California</v>
      </c>
      <c r="U95" t="str">
        <f t="shared" si="6"/>
        <v>Ventura County</v>
      </c>
      <c r="V95">
        <f t="shared" si="7"/>
        <v>42</v>
      </c>
    </row>
    <row r="96" spans="7:22" x14ac:dyDescent="0.3">
      <c r="G96" t="s">
        <v>243</v>
      </c>
      <c r="H96" s="20">
        <v>15</v>
      </c>
      <c r="J96" t="str">
        <f t="shared" si="2"/>
        <v>California</v>
      </c>
      <c r="K96" t="str">
        <f t="shared" si="3"/>
        <v>Yolo County</v>
      </c>
      <c r="L96">
        <f t="shared" si="4"/>
        <v>15</v>
      </c>
      <c r="P96" t="s">
        <v>243</v>
      </c>
      <c r="Q96" s="20">
        <v>5</v>
      </c>
      <c r="T96" t="str">
        <f t="shared" si="5"/>
        <v>California</v>
      </c>
      <c r="U96" t="str">
        <f t="shared" si="6"/>
        <v>Yolo County</v>
      </c>
      <c r="V96">
        <f t="shared" si="7"/>
        <v>5</v>
      </c>
    </row>
    <row r="97" spans="6:22" x14ac:dyDescent="0.3">
      <c r="G97" t="s">
        <v>1911</v>
      </c>
      <c r="H97" s="20">
        <v>3</v>
      </c>
      <c r="J97" t="str">
        <f t="shared" si="2"/>
        <v>California</v>
      </c>
      <c r="K97" t="str">
        <f t="shared" si="3"/>
        <v>Yuba County</v>
      </c>
      <c r="L97">
        <f t="shared" si="4"/>
        <v>3</v>
      </c>
      <c r="P97" t="s">
        <v>1911</v>
      </c>
      <c r="Q97" s="20">
        <v>1</v>
      </c>
      <c r="T97" t="str">
        <f t="shared" si="5"/>
        <v>California</v>
      </c>
      <c r="U97" t="str">
        <f t="shared" si="6"/>
        <v>Yuba County</v>
      </c>
      <c r="V97">
        <f t="shared" si="7"/>
        <v>1</v>
      </c>
    </row>
    <row r="98" spans="6:22" x14ac:dyDescent="0.3">
      <c r="F98" t="s">
        <v>2572</v>
      </c>
      <c r="H98" s="20">
        <v>11997</v>
      </c>
      <c r="O98" t="s">
        <v>2572</v>
      </c>
      <c r="Q98" s="20">
        <v>2400</v>
      </c>
    </row>
    <row r="99" spans="6:22" x14ac:dyDescent="0.3">
      <c r="F99" t="s">
        <v>2564</v>
      </c>
      <c r="H99" s="20">
        <v>11997</v>
      </c>
      <c r="O99" t="s">
        <v>2564</v>
      </c>
      <c r="Q99" s="20">
        <v>2400</v>
      </c>
    </row>
    <row r="138" spans="1:10" x14ac:dyDescent="0.3">
      <c r="A138" s="12" t="s">
        <v>2563</v>
      </c>
      <c r="B138" t="s">
        <v>2552</v>
      </c>
      <c r="D138" s="12" t="s">
        <v>2552</v>
      </c>
      <c r="E138" s="12" t="s">
        <v>2569</v>
      </c>
    </row>
    <row r="139" spans="1:10" x14ac:dyDescent="0.3">
      <c r="A139" s="13">
        <v>0</v>
      </c>
      <c r="B139" s="20">
        <v>175</v>
      </c>
      <c r="D139" s="12" t="s">
        <v>2563</v>
      </c>
      <c r="E139">
        <v>1</v>
      </c>
      <c r="F139">
        <v>2</v>
      </c>
      <c r="G139">
        <v>3</v>
      </c>
      <c r="H139">
        <v>4</v>
      </c>
      <c r="I139">
        <v>5</v>
      </c>
      <c r="J139" t="s">
        <v>2564</v>
      </c>
    </row>
    <row r="140" spans="1:10" x14ac:dyDescent="0.3">
      <c r="A140" s="13">
        <v>1</v>
      </c>
      <c r="B140" s="20">
        <v>888</v>
      </c>
      <c r="D140" s="13" t="s">
        <v>2574</v>
      </c>
      <c r="E140" s="20">
        <v>7</v>
      </c>
      <c r="F140" s="20">
        <v>37</v>
      </c>
      <c r="G140" s="20">
        <v>150</v>
      </c>
      <c r="H140" s="20">
        <v>312</v>
      </c>
      <c r="I140" s="20">
        <v>224</v>
      </c>
      <c r="J140" s="20">
        <v>730</v>
      </c>
    </row>
    <row r="141" spans="1:10" x14ac:dyDescent="0.3">
      <c r="A141" s="13">
        <v>2</v>
      </c>
      <c r="B141" s="20">
        <v>538</v>
      </c>
      <c r="D141" s="13" t="s">
        <v>2575</v>
      </c>
      <c r="E141" s="20">
        <v>8</v>
      </c>
      <c r="F141" s="20">
        <v>51</v>
      </c>
      <c r="G141" s="20">
        <v>182</v>
      </c>
      <c r="H141" s="20">
        <v>373</v>
      </c>
      <c r="I141" s="20">
        <v>247</v>
      </c>
      <c r="J141" s="20">
        <v>861</v>
      </c>
    </row>
    <row r="142" spans="1:10" x14ac:dyDescent="0.3">
      <c r="A142" s="13">
        <v>3</v>
      </c>
      <c r="B142" s="20">
        <v>344</v>
      </c>
      <c r="D142" s="13" t="s">
        <v>2576</v>
      </c>
      <c r="E142" s="20">
        <v>6</v>
      </c>
      <c r="F142" s="20">
        <v>39</v>
      </c>
      <c r="G142" s="20">
        <v>163</v>
      </c>
      <c r="H142" s="20">
        <v>351</v>
      </c>
      <c r="I142" s="20">
        <v>250</v>
      </c>
      <c r="J142" s="20">
        <v>809</v>
      </c>
    </row>
    <row r="143" spans="1:10" x14ac:dyDescent="0.3">
      <c r="A143" s="13">
        <v>4</v>
      </c>
      <c r="B143" s="20">
        <v>200</v>
      </c>
      <c r="D143" s="13" t="s">
        <v>2564</v>
      </c>
      <c r="E143" s="20">
        <v>21</v>
      </c>
      <c r="F143" s="20">
        <v>127</v>
      </c>
      <c r="G143" s="20">
        <v>495</v>
      </c>
      <c r="H143" s="20">
        <v>1036</v>
      </c>
      <c r="I143" s="20">
        <v>721</v>
      </c>
      <c r="J143" s="20">
        <v>2400</v>
      </c>
    </row>
    <row r="144" spans="1:10" x14ac:dyDescent="0.3">
      <c r="A144" s="13">
        <v>5</v>
      </c>
      <c r="B144" s="20">
        <v>94</v>
      </c>
    </row>
    <row r="145" spans="1:2" x14ac:dyDescent="0.3">
      <c r="A145" s="13">
        <v>6</v>
      </c>
      <c r="B145" s="20">
        <v>51</v>
      </c>
    </row>
    <row r="146" spans="1:2" x14ac:dyDescent="0.3">
      <c r="A146" s="13">
        <v>7</v>
      </c>
      <c r="B146" s="20">
        <v>32</v>
      </c>
    </row>
    <row r="147" spans="1:2" x14ac:dyDescent="0.3">
      <c r="A147" s="13">
        <v>8</v>
      </c>
      <c r="B147" s="20">
        <v>23</v>
      </c>
    </row>
    <row r="148" spans="1:2" x14ac:dyDescent="0.3">
      <c r="A148" s="13">
        <v>9</v>
      </c>
      <c r="B148" s="20">
        <v>9</v>
      </c>
    </row>
    <row r="149" spans="1:2" x14ac:dyDescent="0.3">
      <c r="A149" s="13">
        <v>10</v>
      </c>
      <c r="B149" s="20">
        <v>8</v>
      </c>
    </row>
    <row r="150" spans="1:2" x14ac:dyDescent="0.3">
      <c r="A150" s="13">
        <v>11</v>
      </c>
      <c r="B150" s="20">
        <v>11</v>
      </c>
    </row>
    <row r="151" spans="1:2" x14ac:dyDescent="0.3">
      <c r="A151" s="13">
        <v>12</v>
      </c>
      <c r="B151" s="20">
        <v>4</v>
      </c>
    </row>
    <row r="152" spans="1:2" x14ac:dyDescent="0.3">
      <c r="A152" s="13">
        <v>13</v>
      </c>
      <c r="B152" s="20">
        <v>10</v>
      </c>
    </row>
    <row r="153" spans="1:2" x14ac:dyDescent="0.3">
      <c r="A153" s="13">
        <v>14</v>
      </c>
      <c r="B153" s="20">
        <v>13</v>
      </c>
    </row>
    <row r="154" spans="1:2" x14ac:dyDescent="0.3">
      <c r="A154" s="13" t="s">
        <v>2564</v>
      </c>
      <c r="B154" s="20">
        <v>2400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Questions &amp; KPIs</vt:lpstr>
      <vt:lpstr>Dashboard</vt:lpstr>
      <vt:lpstr>Sheet1</vt:lpstr>
      <vt:lpstr>Logo &amp; Colors</vt:lpstr>
      <vt:lpstr>Pivot_table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𝒗𝒂𝒏𝒔𝒉𝒊𝒌𝒂 🦋</cp:lastModifiedBy>
  <dcterms:created xsi:type="dcterms:W3CDTF">2025-06-13T02:42:26Z</dcterms:created>
  <dcterms:modified xsi:type="dcterms:W3CDTF">2025-12-29T10:25:19Z</dcterms:modified>
</cp:coreProperties>
</file>